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it\Downloads\Upgrad\Interview sessions\Session 4- Sensitivity &amp; Scenario Analysis\"/>
    </mc:Choice>
  </mc:AlternateContent>
  <xr:revisionPtr revIDLastSave="0" documentId="13_ncr:1_{D8CDB9C5-839E-4E9F-84F3-0DECF89FD5C7}" xr6:coauthVersionLast="47" xr6:coauthVersionMax="47" xr10:uidLastSave="{00000000-0000-0000-0000-000000000000}"/>
  <bookViews>
    <workbookView xWindow="-108" yWindow="-108" windowWidth="23256" windowHeight="12456" firstSheet="1" activeTab="2" xr2:uid="{3AEBFD87-0C5F-4024-8E9F-5AD1EBE6024B}"/>
  </bookViews>
  <sheets>
    <sheet name="Dates Setting" sheetId="8" r:id="rId1"/>
    <sheet name="P&amp;L Analysis" sheetId="1" r:id="rId2"/>
    <sheet name="BS" sheetId="3" r:id="rId3"/>
    <sheet name="Sensitivity Analysis" sheetId="9" r:id="rId4"/>
    <sheet name="Working Capital" sheetId="4" r:id="rId5"/>
    <sheet name="Industry Analysis" sheetId="5" r:id="rId6"/>
    <sheet name="Sheet2" sheetId="2" state="hidden" r:id="rId7"/>
    <sheet name="Data Sheet" sheetId="6" r:id="rId8"/>
  </sheets>
  <definedNames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G53" i="1"/>
  <c r="H53" i="1"/>
  <c r="I53" i="1"/>
  <c r="J53" i="1"/>
  <c r="K53" i="1"/>
  <c r="L53" i="1"/>
  <c r="M53" i="1"/>
  <c r="N53" i="1"/>
  <c r="O53" i="1"/>
  <c r="Q53" i="1"/>
  <c r="R53" i="1"/>
  <c r="S53" i="1"/>
  <c r="T53" i="1"/>
  <c r="D53" i="1"/>
  <c r="E51" i="1"/>
  <c r="G51" i="1"/>
  <c r="H51" i="1"/>
  <c r="I51" i="1"/>
  <c r="J51" i="1"/>
  <c r="K51" i="1"/>
  <c r="L51" i="1"/>
  <c r="M51" i="1"/>
  <c r="N51" i="1"/>
  <c r="O51" i="1"/>
  <c r="P51" i="1"/>
  <c r="P53" i="1" s="1"/>
  <c r="Q51" i="1"/>
  <c r="R51" i="1"/>
  <c r="S51" i="1"/>
  <c r="T51" i="1"/>
  <c r="D51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D50" i="1"/>
  <c r="C9" i="8"/>
  <c r="B9" i="8" s="1"/>
  <c r="B7" i="8"/>
  <c r="C2" i="1"/>
  <c r="E16" i="3"/>
  <c r="F16" i="3"/>
  <c r="G16" i="3"/>
  <c r="H16" i="3"/>
  <c r="I16" i="3"/>
  <c r="J16" i="3"/>
  <c r="K16" i="3"/>
  <c r="L16" i="3"/>
  <c r="M16" i="3"/>
  <c r="N16" i="3"/>
  <c r="O16" i="3"/>
  <c r="O46" i="3" s="1"/>
  <c r="P16" i="3"/>
  <c r="Q16" i="3"/>
  <c r="R16" i="3"/>
  <c r="S16" i="3"/>
  <c r="T16" i="3"/>
  <c r="D16" i="3"/>
  <c r="F20" i="3"/>
  <c r="G20" i="3"/>
  <c r="J20" i="3"/>
  <c r="N20" i="3"/>
  <c r="O20" i="3"/>
  <c r="O45" i="3" s="1"/>
  <c r="R20" i="3"/>
  <c r="R22" i="3" s="1"/>
  <c r="O22" i="3"/>
  <c r="O24" i="3" s="1"/>
  <c r="E17" i="3"/>
  <c r="F17" i="3"/>
  <c r="G17" i="3"/>
  <c r="H17" i="3"/>
  <c r="H20" i="3" s="1"/>
  <c r="I17" i="3"/>
  <c r="I20" i="3" s="1"/>
  <c r="J17" i="3"/>
  <c r="K17" i="3"/>
  <c r="L17" i="3"/>
  <c r="M17" i="3"/>
  <c r="N17" i="3"/>
  <c r="O17" i="3"/>
  <c r="O42" i="3" s="1"/>
  <c r="P17" i="3"/>
  <c r="P20" i="3" s="1"/>
  <c r="Q17" i="3"/>
  <c r="Q20" i="3" s="1"/>
  <c r="R17" i="3"/>
  <c r="S17" i="3"/>
  <c r="T17" i="3"/>
  <c r="E18" i="3"/>
  <c r="F18" i="3"/>
  <c r="G18" i="3"/>
  <c r="H18" i="3"/>
  <c r="I18" i="3"/>
  <c r="J18" i="3"/>
  <c r="K18" i="3"/>
  <c r="L18" i="3"/>
  <c r="M18" i="3"/>
  <c r="N18" i="3"/>
  <c r="O18" i="3"/>
  <c r="O43" i="3" s="1"/>
  <c r="P18" i="3"/>
  <c r="Q18" i="3"/>
  <c r="R18" i="3"/>
  <c r="S18" i="3"/>
  <c r="T18" i="3"/>
  <c r="E19" i="3"/>
  <c r="F19" i="3"/>
  <c r="G19" i="3"/>
  <c r="H19" i="3"/>
  <c r="I19" i="3"/>
  <c r="J19" i="3"/>
  <c r="K19" i="3"/>
  <c r="L19" i="3"/>
  <c r="M19" i="3"/>
  <c r="N19" i="3"/>
  <c r="O19" i="3"/>
  <c r="O44" i="3" s="1"/>
  <c r="P19" i="3"/>
  <c r="Q19" i="3"/>
  <c r="R19" i="3"/>
  <c r="S19" i="3"/>
  <c r="T19" i="3"/>
  <c r="D18" i="3"/>
  <c r="D19" i="3"/>
  <c r="D17" i="3"/>
  <c r="D15" i="3"/>
  <c r="E15" i="3"/>
  <c r="F15" i="3"/>
  <c r="G15" i="3"/>
  <c r="H15" i="3"/>
  <c r="I15" i="3"/>
  <c r="J15" i="3"/>
  <c r="K15" i="3"/>
  <c r="L15" i="3"/>
  <c r="M15" i="3"/>
  <c r="N15" i="3"/>
  <c r="O15" i="3"/>
  <c r="O41" i="3" s="1"/>
  <c r="P15" i="3"/>
  <c r="Q15" i="3"/>
  <c r="R15" i="3"/>
  <c r="S15" i="3"/>
  <c r="T15" i="3"/>
  <c r="E14" i="3"/>
  <c r="F14" i="3"/>
  <c r="G14" i="3"/>
  <c r="H14" i="3"/>
  <c r="I14" i="3"/>
  <c r="J14" i="3"/>
  <c r="J30" i="3" s="1"/>
  <c r="K14" i="3"/>
  <c r="L14" i="3"/>
  <c r="M14" i="3"/>
  <c r="N14" i="3"/>
  <c r="O14" i="3"/>
  <c r="O40" i="3" s="1"/>
  <c r="P14" i="3"/>
  <c r="Q14" i="3"/>
  <c r="R14" i="3"/>
  <c r="R30" i="3" s="1"/>
  <c r="S14" i="3"/>
  <c r="T14" i="3"/>
  <c r="D14" i="3"/>
  <c r="E10" i="3"/>
  <c r="F10" i="3"/>
  <c r="G10" i="3"/>
  <c r="M10" i="3"/>
  <c r="N10" i="3"/>
  <c r="O10" i="3"/>
  <c r="D6" i="3"/>
  <c r="E6" i="3"/>
  <c r="F6" i="3"/>
  <c r="G6" i="3"/>
  <c r="H6" i="3"/>
  <c r="I6" i="3"/>
  <c r="J6" i="3"/>
  <c r="K6" i="3"/>
  <c r="L6" i="3"/>
  <c r="L10" i="3" s="1"/>
  <c r="M6" i="3"/>
  <c r="N6" i="3"/>
  <c r="O6" i="3"/>
  <c r="O35" i="3" s="1"/>
  <c r="P6" i="3"/>
  <c r="Q6" i="3"/>
  <c r="R6" i="3"/>
  <c r="S6" i="3"/>
  <c r="T6" i="3"/>
  <c r="T10" i="3" s="1"/>
  <c r="D7" i="3"/>
  <c r="E7" i="3"/>
  <c r="E36" i="3" s="1"/>
  <c r="F7" i="3"/>
  <c r="F36" i="3" s="1"/>
  <c r="G7" i="3"/>
  <c r="G36" i="3" s="1"/>
  <c r="H7" i="3"/>
  <c r="I7" i="3"/>
  <c r="J7" i="3"/>
  <c r="K7" i="3"/>
  <c r="L7" i="3"/>
  <c r="L36" i="3" s="1"/>
  <c r="M7" i="3"/>
  <c r="M36" i="3" s="1"/>
  <c r="N7" i="3"/>
  <c r="N36" i="3" s="1"/>
  <c r="O7" i="3"/>
  <c r="O36" i="3" s="1"/>
  <c r="P7" i="3"/>
  <c r="Q7" i="3"/>
  <c r="R7" i="3"/>
  <c r="S7" i="3"/>
  <c r="T7" i="3"/>
  <c r="T36" i="3" s="1"/>
  <c r="D8" i="3"/>
  <c r="E8" i="3"/>
  <c r="E37" i="3" s="1"/>
  <c r="F8" i="3"/>
  <c r="F37" i="3" s="1"/>
  <c r="G8" i="3"/>
  <c r="G37" i="3" s="1"/>
  <c r="H8" i="3"/>
  <c r="I8" i="3"/>
  <c r="J8" i="3"/>
  <c r="K8" i="3"/>
  <c r="L8" i="3"/>
  <c r="L37" i="3" s="1"/>
  <c r="M8" i="3"/>
  <c r="M37" i="3" s="1"/>
  <c r="N8" i="3"/>
  <c r="N37" i="3" s="1"/>
  <c r="O8" i="3"/>
  <c r="O37" i="3" s="1"/>
  <c r="P8" i="3"/>
  <c r="Q8" i="3"/>
  <c r="R8" i="3"/>
  <c r="S8" i="3"/>
  <c r="T8" i="3"/>
  <c r="T37" i="3" s="1"/>
  <c r="E5" i="3"/>
  <c r="E34" i="3" s="1"/>
  <c r="F5" i="3"/>
  <c r="F34" i="3" s="1"/>
  <c r="G5" i="3"/>
  <c r="G34" i="3" s="1"/>
  <c r="H5" i="3"/>
  <c r="H27" i="3" s="1"/>
  <c r="I5" i="3"/>
  <c r="J5" i="3"/>
  <c r="K5" i="3"/>
  <c r="K10" i="3" s="1"/>
  <c r="L5" i="3"/>
  <c r="L34" i="3" s="1"/>
  <c r="M5" i="3"/>
  <c r="M34" i="3" s="1"/>
  <c r="N5" i="3"/>
  <c r="N34" i="3" s="1"/>
  <c r="O5" i="3"/>
  <c r="O34" i="3" s="1"/>
  <c r="P5" i="3"/>
  <c r="P27" i="3" s="1"/>
  <c r="Q5" i="3"/>
  <c r="R5" i="3"/>
  <c r="S5" i="3"/>
  <c r="T5" i="3"/>
  <c r="T34" i="3" s="1"/>
  <c r="D5" i="3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D49" i="1"/>
  <c r="O18" i="1"/>
  <c r="O19" i="1"/>
  <c r="C2" i="8" l="1"/>
  <c r="D1" i="8" s="1"/>
  <c r="D2" i="8" s="1"/>
  <c r="E1" i="8" s="1"/>
  <c r="E2" i="8" s="1"/>
  <c r="F1" i="8" s="1"/>
  <c r="F2" i="8" s="1"/>
  <c r="G1" i="8" s="1"/>
  <c r="G2" i="8" s="1"/>
  <c r="H1" i="8" s="1"/>
  <c r="H2" i="8" s="1"/>
  <c r="I1" i="8" s="1"/>
  <c r="I2" i="8" s="1"/>
  <c r="J1" i="8" s="1"/>
  <c r="J2" i="8" s="1"/>
  <c r="K1" i="8" s="1"/>
  <c r="K2" i="8" s="1"/>
  <c r="L1" i="8" s="1"/>
  <c r="L2" i="8" s="1"/>
  <c r="M1" i="8" s="1"/>
  <c r="M2" i="8" s="1"/>
  <c r="N1" i="8" s="1"/>
  <c r="N2" i="8" s="1"/>
  <c r="O1" i="8" s="1"/>
  <c r="O2" i="8" s="1"/>
  <c r="N40" i="3"/>
  <c r="R43" i="3"/>
  <c r="R42" i="3"/>
  <c r="R46" i="3"/>
  <c r="J34" i="3"/>
  <c r="R37" i="3"/>
  <c r="S36" i="3"/>
  <c r="K36" i="3"/>
  <c r="R36" i="3"/>
  <c r="K35" i="3"/>
  <c r="G44" i="3"/>
  <c r="G43" i="3"/>
  <c r="G42" i="3"/>
  <c r="H28" i="3"/>
  <c r="H37" i="3"/>
  <c r="Q36" i="3"/>
  <c r="I36" i="3"/>
  <c r="R35" i="3"/>
  <c r="R41" i="3"/>
  <c r="N44" i="3"/>
  <c r="F44" i="3"/>
  <c r="N43" i="3"/>
  <c r="N46" i="3"/>
  <c r="F46" i="3"/>
  <c r="G41" i="3"/>
  <c r="N41" i="3"/>
  <c r="K37" i="3"/>
  <c r="Q22" i="3"/>
  <c r="Q24" i="3" s="1"/>
  <c r="Q45" i="3"/>
  <c r="N45" i="3"/>
  <c r="H36" i="3"/>
  <c r="Q40" i="3"/>
  <c r="E43" i="3"/>
  <c r="R24" i="3"/>
  <c r="F35" i="3"/>
  <c r="F40" i="3"/>
  <c r="R44" i="3"/>
  <c r="R34" i="3"/>
  <c r="J37" i="3"/>
  <c r="T40" i="3"/>
  <c r="H43" i="3"/>
  <c r="H40" i="3"/>
  <c r="P41" i="3"/>
  <c r="D10" i="3"/>
  <c r="D37" i="3" s="1"/>
  <c r="N22" i="3"/>
  <c r="N24" i="3" s="1"/>
  <c r="R10" i="3"/>
  <c r="J10" i="3"/>
  <c r="J36" i="3" s="1"/>
  <c r="J22" i="3"/>
  <c r="J24" i="3" s="1"/>
  <c r="Q10" i="3"/>
  <c r="Q37" i="3" s="1"/>
  <c r="I10" i="3"/>
  <c r="I34" i="3" s="1"/>
  <c r="D20" i="3"/>
  <c r="M20" i="3"/>
  <c r="E20" i="3"/>
  <c r="O27" i="3"/>
  <c r="O28" i="3" s="1"/>
  <c r="G27" i="3"/>
  <c r="G28" i="3" s="1"/>
  <c r="Q30" i="3"/>
  <c r="I30" i="3"/>
  <c r="H34" i="3"/>
  <c r="T35" i="3"/>
  <c r="R45" i="3"/>
  <c r="R40" i="3"/>
  <c r="S10" i="3"/>
  <c r="S34" i="3" s="1"/>
  <c r="P22" i="3"/>
  <c r="P35" i="3" s="1"/>
  <c r="P10" i="3"/>
  <c r="P34" i="3" s="1"/>
  <c r="H10" i="3"/>
  <c r="T20" i="3"/>
  <c r="L20" i="3"/>
  <c r="E22" i="3"/>
  <c r="E24" i="3" s="1"/>
  <c r="N27" i="3"/>
  <c r="N28" i="3" s="1"/>
  <c r="F27" i="3"/>
  <c r="F28" i="3" s="1"/>
  <c r="H30" i="3"/>
  <c r="S20" i="3"/>
  <c r="K20" i="3"/>
  <c r="T22" i="3"/>
  <c r="T24" i="3" s="1"/>
  <c r="L22" i="3"/>
  <c r="L24" i="3" s="1"/>
  <c r="D27" i="3"/>
  <c r="D28" i="3" s="1"/>
  <c r="M27" i="3"/>
  <c r="M28" i="3" s="1"/>
  <c r="E27" i="3"/>
  <c r="E28" i="3" s="1"/>
  <c r="O30" i="3"/>
  <c r="G30" i="3"/>
  <c r="K22" i="3"/>
  <c r="K24" i="3" s="1"/>
  <c r="T27" i="3"/>
  <c r="T28" i="3" s="1"/>
  <c r="L27" i="3"/>
  <c r="L28" i="3" s="1"/>
  <c r="N30" i="3"/>
  <c r="S27" i="3"/>
  <c r="K27" i="3"/>
  <c r="K28" i="3" s="1"/>
  <c r="E30" i="3"/>
  <c r="M30" i="3"/>
  <c r="R27" i="3"/>
  <c r="R28" i="3" s="1"/>
  <c r="J27" i="3"/>
  <c r="J28" i="3" s="1"/>
  <c r="T30" i="3"/>
  <c r="L30" i="3"/>
  <c r="K34" i="3"/>
  <c r="H22" i="3"/>
  <c r="H24" i="3" s="1"/>
  <c r="Q27" i="3"/>
  <c r="Q28" i="3" s="1"/>
  <c r="I27" i="3"/>
  <c r="I28" i="3" s="1"/>
  <c r="S30" i="3"/>
  <c r="K30" i="3"/>
  <c r="G22" i="3"/>
  <c r="G24" i="3" s="1"/>
  <c r="L46" i="3"/>
  <c r="I22" i="3"/>
  <c r="I24" i="3" s="1"/>
  <c r="F22" i="3"/>
  <c r="F24" i="3" s="1"/>
  <c r="K42" i="3" l="1"/>
  <c r="I37" i="3"/>
  <c r="P42" i="3"/>
  <c r="P43" i="3"/>
  <c r="K46" i="3"/>
  <c r="H42" i="3"/>
  <c r="S37" i="3"/>
  <c r="S28" i="3"/>
  <c r="P44" i="3"/>
  <c r="P37" i="3"/>
  <c r="E46" i="3"/>
  <c r="P46" i="3"/>
  <c r="I46" i="3"/>
  <c r="I44" i="3"/>
  <c r="J46" i="3"/>
  <c r="F45" i="3"/>
  <c r="J41" i="3"/>
  <c r="K41" i="3"/>
  <c r="Q43" i="3"/>
  <c r="L45" i="3"/>
  <c r="L44" i="3"/>
  <c r="Q35" i="3"/>
  <c r="L41" i="3"/>
  <c r="I45" i="3"/>
  <c r="G35" i="3"/>
  <c r="E41" i="3"/>
  <c r="J42" i="3"/>
  <c r="F42" i="3"/>
  <c r="P28" i="3"/>
  <c r="H46" i="3"/>
  <c r="Q44" i="3"/>
  <c r="M45" i="3"/>
  <c r="I40" i="3"/>
  <c r="D36" i="3"/>
  <c r="L42" i="3"/>
  <c r="T42" i="3"/>
  <c r="K45" i="3"/>
  <c r="L43" i="3"/>
  <c r="S45" i="3"/>
  <c r="J40" i="3"/>
  <c r="T43" i="3"/>
  <c r="G40" i="3"/>
  <c r="P36" i="3"/>
  <c r="K43" i="3"/>
  <c r="F41" i="3"/>
  <c r="I42" i="3"/>
  <c r="D22" i="3"/>
  <c r="Q42" i="3"/>
  <c r="T45" i="3"/>
  <c r="T44" i="3"/>
  <c r="T41" i="3"/>
  <c r="E35" i="3"/>
  <c r="I41" i="3"/>
  <c r="Q34" i="3"/>
  <c r="E40" i="3"/>
  <c r="J43" i="3"/>
  <c r="K44" i="3"/>
  <c r="N42" i="3"/>
  <c r="J35" i="3"/>
  <c r="G46" i="3"/>
  <c r="K40" i="3"/>
  <c r="H45" i="3"/>
  <c r="N35" i="3"/>
  <c r="P24" i="3"/>
  <c r="D34" i="3"/>
  <c r="T46" i="3"/>
  <c r="P40" i="3"/>
  <c r="H44" i="3"/>
  <c r="I35" i="3"/>
  <c r="H35" i="3"/>
  <c r="E44" i="3"/>
  <c r="I43" i="3"/>
  <c r="Q46" i="3"/>
  <c r="M22" i="3"/>
  <c r="L35" i="3"/>
  <c r="E45" i="3"/>
  <c r="H41" i="3"/>
  <c r="J45" i="3"/>
  <c r="L40" i="3"/>
  <c r="E42" i="3"/>
  <c r="Q41" i="3"/>
  <c r="P45" i="3"/>
  <c r="J44" i="3"/>
  <c r="F43" i="3"/>
  <c r="G45" i="3"/>
  <c r="S22" i="3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D35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D29" i="1"/>
  <c r="D28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D18" i="1"/>
  <c r="E18" i="1"/>
  <c r="F18" i="1"/>
  <c r="G18" i="1"/>
  <c r="H18" i="1"/>
  <c r="I18" i="1"/>
  <c r="J18" i="1"/>
  <c r="K18" i="1"/>
  <c r="L18" i="1"/>
  <c r="M18" i="1"/>
  <c r="N18" i="1"/>
  <c r="P18" i="1"/>
  <c r="Q18" i="1"/>
  <c r="R18" i="1"/>
  <c r="S18" i="1"/>
  <c r="T18" i="1"/>
  <c r="D19" i="1"/>
  <c r="E19" i="1"/>
  <c r="F19" i="1"/>
  <c r="G19" i="1"/>
  <c r="H19" i="1"/>
  <c r="I19" i="1"/>
  <c r="J19" i="1"/>
  <c r="K19" i="1"/>
  <c r="L19" i="1"/>
  <c r="M19" i="1"/>
  <c r="N19" i="1"/>
  <c r="P19" i="1"/>
  <c r="Q19" i="1"/>
  <c r="R19" i="1"/>
  <c r="S19" i="1"/>
  <c r="T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E14" i="1"/>
  <c r="F14" i="1"/>
  <c r="F22" i="1" s="1"/>
  <c r="G14" i="1"/>
  <c r="G22" i="1" s="1"/>
  <c r="H14" i="1"/>
  <c r="H22" i="1" s="1"/>
  <c r="I14" i="1"/>
  <c r="I22" i="1" s="1"/>
  <c r="J14" i="1"/>
  <c r="J22" i="1" s="1"/>
  <c r="K14" i="1"/>
  <c r="K22" i="1" s="1"/>
  <c r="L14" i="1"/>
  <c r="M14" i="1"/>
  <c r="N14" i="1"/>
  <c r="N22" i="1" s="1"/>
  <c r="O14" i="1"/>
  <c r="O22" i="1" s="1"/>
  <c r="P14" i="1"/>
  <c r="P22" i="1" s="1"/>
  <c r="Q14" i="1"/>
  <c r="Q22" i="1" s="1"/>
  <c r="R14" i="1"/>
  <c r="R22" i="1" s="1"/>
  <c r="S14" i="1"/>
  <c r="S22" i="1" s="1"/>
  <c r="T14" i="1"/>
  <c r="D14" i="1"/>
  <c r="D7" i="1"/>
  <c r="E7" i="1"/>
  <c r="F7" i="1"/>
  <c r="G7" i="1"/>
  <c r="H7" i="1"/>
  <c r="I7" i="1"/>
  <c r="J7" i="1"/>
  <c r="K7" i="1"/>
  <c r="K10" i="1" s="1"/>
  <c r="L7" i="1"/>
  <c r="M7" i="1"/>
  <c r="N7" i="1"/>
  <c r="O7" i="1"/>
  <c r="P7" i="1"/>
  <c r="Q7" i="1"/>
  <c r="R7" i="1"/>
  <c r="S7" i="1"/>
  <c r="T7" i="1"/>
  <c r="G6" i="1"/>
  <c r="H6" i="1"/>
  <c r="I6" i="1"/>
  <c r="G3" i="5" s="1"/>
  <c r="J6" i="1"/>
  <c r="K6" i="1"/>
  <c r="K9" i="1" s="1"/>
  <c r="L6" i="1"/>
  <c r="M6" i="1"/>
  <c r="N6" i="1"/>
  <c r="O6" i="1"/>
  <c r="P6" i="1"/>
  <c r="Q6" i="1"/>
  <c r="R6" i="1"/>
  <c r="S6" i="1"/>
  <c r="Q3" i="5" s="1"/>
  <c r="T6" i="1"/>
  <c r="R3" i="5" s="1"/>
  <c r="E6" i="1"/>
  <c r="F6" i="1"/>
  <c r="D6" i="1"/>
  <c r="D9" i="1" s="1"/>
  <c r="B6" i="6"/>
  <c r="E1" i="6"/>
  <c r="H3" i="5"/>
  <c r="I3" i="5"/>
  <c r="M3" i="5"/>
  <c r="N3" i="5"/>
  <c r="O3" i="5"/>
  <c r="P3" i="5"/>
  <c r="D10" i="1" l="1"/>
  <c r="K33" i="1"/>
  <c r="K37" i="1" s="1"/>
  <c r="D33" i="1"/>
  <c r="D37" i="1" s="1"/>
  <c r="D38" i="1" s="1"/>
  <c r="E10" i="1"/>
  <c r="L10" i="1"/>
  <c r="D3" i="5"/>
  <c r="F42" i="1"/>
  <c r="F24" i="1"/>
  <c r="P42" i="1"/>
  <c r="H42" i="1"/>
  <c r="H24" i="1"/>
  <c r="P9" i="1"/>
  <c r="H9" i="1"/>
  <c r="P31" i="1"/>
  <c r="H31" i="1"/>
  <c r="G42" i="1"/>
  <c r="G24" i="1"/>
  <c r="O31" i="1"/>
  <c r="G31" i="1"/>
  <c r="D31" i="1"/>
  <c r="N31" i="1"/>
  <c r="F31" i="1"/>
  <c r="O24" i="1"/>
  <c r="O42" i="1"/>
  <c r="L3" i="5"/>
  <c r="N42" i="1"/>
  <c r="N24" i="1"/>
  <c r="N9" i="1"/>
  <c r="F9" i="1"/>
  <c r="C3" i="5"/>
  <c r="E42" i="1"/>
  <c r="K3" i="5"/>
  <c r="M42" i="1"/>
  <c r="M24" i="1"/>
  <c r="M9" i="1"/>
  <c r="E9" i="1"/>
  <c r="M31" i="1"/>
  <c r="E31" i="1"/>
  <c r="T31" i="1"/>
  <c r="L31" i="1"/>
  <c r="J3" i="5"/>
  <c r="L42" i="1"/>
  <c r="T9" i="1"/>
  <c r="L9" i="1"/>
  <c r="S9" i="1"/>
  <c r="D22" i="1"/>
  <c r="M22" i="1"/>
  <c r="E22" i="1"/>
  <c r="E24" i="1" s="1"/>
  <c r="S31" i="1"/>
  <c r="K31" i="1"/>
  <c r="F3" i="5"/>
  <c r="K42" i="1"/>
  <c r="K24" i="1"/>
  <c r="E3" i="5"/>
  <c r="R42" i="1"/>
  <c r="J42" i="1"/>
  <c r="J24" i="1"/>
  <c r="R9" i="1"/>
  <c r="J9" i="1"/>
  <c r="T22" i="1"/>
  <c r="L22" i="1"/>
  <c r="L24" i="1" s="1"/>
  <c r="R31" i="1"/>
  <c r="J31" i="1"/>
  <c r="B3" i="5"/>
  <c r="D24" i="1"/>
  <c r="D25" i="1" s="1"/>
  <c r="O9" i="1"/>
  <c r="G9" i="1"/>
  <c r="Q42" i="1"/>
  <c r="I42" i="1"/>
  <c r="I24" i="1"/>
  <c r="Q9" i="1"/>
  <c r="I9" i="1"/>
  <c r="Q31" i="1"/>
  <c r="I31" i="1"/>
  <c r="D24" i="3"/>
  <c r="D40" i="3"/>
  <c r="D42" i="3"/>
  <c r="D44" i="3"/>
  <c r="D35" i="3"/>
  <c r="D46" i="3"/>
  <c r="D41" i="3"/>
  <c r="D43" i="3"/>
  <c r="S24" i="3"/>
  <c r="S40" i="3"/>
  <c r="S44" i="3"/>
  <c r="S42" i="3"/>
  <c r="S35" i="3"/>
  <c r="S46" i="3"/>
  <c r="S41" i="3"/>
  <c r="S43" i="3"/>
  <c r="M24" i="3"/>
  <c r="M40" i="3"/>
  <c r="M41" i="3"/>
  <c r="M46" i="3"/>
  <c r="M44" i="3"/>
  <c r="M43" i="3"/>
  <c r="M35" i="3"/>
  <c r="M42" i="3"/>
  <c r="D45" i="3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D65" i="1"/>
  <c r="E25" i="1" l="1"/>
  <c r="E43" i="1"/>
  <c r="L25" i="1"/>
  <c r="L43" i="1"/>
  <c r="J25" i="1"/>
  <c r="J43" i="1"/>
  <c r="M25" i="1"/>
  <c r="M43" i="1"/>
  <c r="H43" i="1"/>
  <c r="H25" i="1"/>
  <c r="F25" i="1"/>
  <c r="F43" i="1"/>
  <c r="K44" i="1"/>
  <c r="K38" i="1"/>
  <c r="K25" i="1"/>
  <c r="K43" i="1"/>
  <c r="S33" i="1"/>
  <c r="S37" i="1" s="1"/>
  <c r="S38" i="1" s="1"/>
  <c r="S24" i="1"/>
  <c r="S25" i="1" s="1"/>
  <c r="O43" i="1"/>
  <c r="O25" i="1"/>
  <c r="S10" i="1"/>
  <c r="G25" i="1"/>
  <c r="G43" i="1"/>
  <c r="G33" i="1"/>
  <c r="G37" i="1" s="1"/>
  <c r="G10" i="1"/>
  <c r="J33" i="1"/>
  <c r="J37" i="1" s="1"/>
  <c r="J10" i="1"/>
  <c r="T33" i="1"/>
  <c r="T37" i="1" s="1"/>
  <c r="T38" i="1" s="1"/>
  <c r="T24" i="1"/>
  <c r="T25" i="1" s="1"/>
  <c r="N43" i="1"/>
  <c r="N25" i="1"/>
  <c r="I33" i="1"/>
  <c r="I37" i="1" s="1"/>
  <c r="I10" i="1"/>
  <c r="Q33" i="1"/>
  <c r="Q37" i="1" s="1"/>
  <c r="Q24" i="1"/>
  <c r="Q10" i="1"/>
  <c r="I43" i="1"/>
  <c r="I25" i="1"/>
  <c r="L33" i="1"/>
  <c r="L37" i="1" s="1"/>
  <c r="E33" i="1"/>
  <c r="E37" i="1" s="1"/>
  <c r="F33" i="1"/>
  <c r="F37" i="1" s="1"/>
  <c r="H33" i="1"/>
  <c r="H37" i="1" s="1"/>
  <c r="H10" i="1"/>
  <c r="F10" i="1"/>
  <c r="T10" i="1"/>
  <c r="O33" i="1"/>
  <c r="O37" i="1" s="1"/>
  <c r="O10" i="1"/>
  <c r="R33" i="1"/>
  <c r="R37" i="1" s="1"/>
  <c r="R24" i="1"/>
  <c r="R10" i="1"/>
  <c r="M33" i="1"/>
  <c r="M37" i="1" s="1"/>
  <c r="N33" i="1"/>
  <c r="N37" i="1" s="1"/>
  <c r="P33" i="1"/>
  <c r="P37" i="1" s="1"/>
  <c r="P10" i="1"/>
  <c r="P24" i="1"/>
  <c r="N10" i="1"/>
  <c r="M10" i="1"/>
  <c r="R38" i="1" l="1"/>
  <c r="R44" i="1"/>
  <c r="I38" i="1"/>
  <c r="I44" i="1"/>
  <c r="L38" i="1"/>
  <c r="L44" i="1"/>
  <c r="O38" i="1"/>
  <c r="O44" i="1"/>
  <c r="P44" i="1"/>
  <c r="P38" i="1"/>
  <c r="E44" i="1"/>
  <c r="E38" i="1"/>
  <c r="G38" i="1"/>
  <c r="G44" i="1"/>
  <c r="P25" i="1"/>
  <c r="P43" i="1"/>
  <c r="N44" i="1"/>
  <c r="N38" i="1"/>
  <c r="M38" i="1"/>
  <c r="M44" i="1"/>
  <c r="Q43" i="1"/>
  <c r="Q25" i="1"/>
  <c r="H38" i="1"/>
  <c r="H44" i="1"/>
  <c r="Q38" i="1"/>
  <c r="Q44" i="1"/>
  <c r="J38" i="1"/>
  <c r="J44" i="1"/>
  <c r="R43" i="1"/>
  <c r="R25" i="1"/>
  <c r="F44" i="1"/>
  <c r="F38" i="1"/>
</calcChain>
</file>

<file path=xl/sharedStrings.xml><?xml version="1.0" encoding="utf-8"?>
<sst xmlns="http://schemas.openxmlformats.org/spreadsheetml/2006/main" count="239" uniqueCount="146">
  <si>
    <t>Sales</t>
  </si>
  <si>
    <t>Other Income</t>
  </si>
  <si>
    <t>Total Income</t>
  </si>
  <si>
    <t>Other Income % of TI</t>
  </si>
  <si>
    <t>A.</t>
  </si>
  <si>
    <t>Income</t>
  </si>
  <si>
    <t>B.</t>
  </si>
  <si>
    <t>Raw Material</t>
  </si>
  <si>
    <t>Power and Fuel</t>
  </si>
  <si>
    <t>Other Mfr. Exp</t>
  </si>
  <si>
    <t>Employee Cost</t>
  </si>
  <si>
    <t>Selling and admin</t>
  </si>
  <si>
    <t>Other Expenses</t>
  </si>
  <si>
    <t>Operating Expense</t>
  </si>
  <si>
    <t>Total OE</t>
  </si>
  <si>
    <t>EBIDTA</t>
  </si>
  <si>
    <t>EBIDTA (%)</t>
  </si>
  <si>
    <t>C.</t>
  </si>
  <si>
    <t>D.</t>
  </si>
  <si>
    <t>Other Expense</t>
  </si>
  <si>
    <t>Depreciation</t>
  </si>
  <si>
    <t>Interest</t>
  </si>
  <si>
    <t>Total Other Exp</t>
  </si>
  <si>
    <t>PBT</t>
  </si>
  <si>
    <t>E.</t>
  </si>
  <si>
    <t>F.</t>
  </si>
  <si>
    <t>Tax</t>
  </si>
  <si>
    <t>G.</t>
  </si>
  <si>
    <t>Net Profit</t>
  </si>
  <si>
    <t>Growth Rates &amp; Margin</t>
  </si>
  <si>
    <t>EBIDTA Growth</t>
  </si>
  <si>
    <t>Sales Growth</t>
  </si>
  <si>
    <t>Net Profit Margin(%)</t>
  </si>
  <si>
    <t>Profitability Growth</t>
  </si>
  <si>
    <t>Change in Inventory</t>
  </si>
  <si>
    <t>Capex &amp; Cash Flow</t>
  </si>
  <si>
    <t>Capex Addition in the year (Change in (NFA+WIP)+Acc Depreciation)</t>
  </si>
  <si>
    <t>Free Cash Flow (FCF= CF-Capex)</t>
  </si>
  <si>
    <t>Net Cash generated</t>
  </si>
  <si>
    <t>Free cash flow</t>
  </si>
  <si>
    <t>CFO-Inc capex</t>
  </si>
  <si>
    <t>Add Change in debt</t>
  </si>
  <si>
    <t>Less</t>
  </si>
  <si>
    <t>Int Paid</t>
  </si>
  <si>
    <t>Dividend paid</t>
  </si>
  <si>
    <t>Capital</t>
  </si>
  <si>
    <t>Total Debt</t>
  </si>
  <si>
    <t>Share Capital</t>
  </si>
  <si>
    <t>Dividend Paid</t>
  </si>
  <si>
    <t>Net Cash Generated</t>
  </si>
  <si>
    <t>Expenses as % of Sales</t>
  </si>
  <si>
    <t>Equity Share Capital</t>
  </si>
  <si>
    <t>Reserves</t>
  </si>
  <si>
    <t>Borrowings</t>
  </si>
  <si>
    <t>Other Liabilities</t>
  </si>
  <si>
    <t>Owners Fund</t>
  </si>
  <si>
    <t>Total</t>
  </si>
  <si>
    <t>Application of Funds</t>
  </si>
  <si>
    <t>B</t>
  </si>
  <si>
    <t>Net Fixed Asset</t>
  </si>
  <si>
    <t>WIP</t>
  </si>
  <si>
    <t>Receivables</t>
  </si>
  <si>
    <t>Inventory</t>
  </si>
  <si>
    <t>Cash &amp; Bank</t>
  </si>
  <si>
    <t>Other Assets</t>
  </si>
  <si>
    <t>Analysis</t>
  </si>
  <si>
    <t>Net Worth</t>
  </si>
  <si>
    <t>Net Worth % of Total BS</t>
  </si>
  <si>
    <t>Increase in Fixed Assets</t>
  </si>
  <si>
    <t>Common Size Statement</t>
  </si>
  <si>
    <t>Asset Turnover ratio</t>
  </si>
  <si>
    <t>How much of new asset addition can lead to increase in sales</t>
  </si>
  <si>
    <t>How Profits would be impacted</t>
  </si>
  <si>
    <t>ROE</t>
  </si>
  <si>
    <t>ROCE</t>
  </si>
  <si>
    <t>PB</t>
  </si>
  <si>
    <t>PE</t>
  </si>
  <si>
    <t>EV/EBTDA</t>
  </si>
  <si>
    <t>Receivables days (Low is better)</t>
  </si>
  <si>
    <t>Inventory Turnover (High is better)</t>
  </si>
  <si>
    <t>Months of RM held as Inv. (Low is better)</t>
  </si>
  <si>
    <t>Working capital cycle days (Rec + Inv Days)</t>
  </si>
  <si>
    <t>Dividend Growth</t>
  </si>
  <si>
    <t>Debt % of Net worth</t>
  </si>
  <si>
    <t>Working Capital as % of Sales</t>
  </si>
  <si>
    <t>Inventories</t>
  </si>
  <si>
    <t>Loans &amp; Advances</t>
  </si>
  <si>
    <t>Other Current Assets</t>
  </si>
  <si>
    <t>Current Tax Asset</t>
  </si>
  <si>
    <t>a.</t>
  </si>
  <si>
    <t>b.</t>
  </si>
  <si>
    <t>c.</t>
  </si>
  <si>
    <t>COMPANY NAME</t>
  </si>
  <si>
    <t>AVANTEL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</si>
  <si>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</si>
  <si>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</si>
  <si>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</si>
  <si>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</si>
  <si>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</si>
  <si>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</si>
  <si>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</si>
  <si>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</si>
  <si>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</si>
  <si>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</si>
  <si>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</si>
  <si>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</si>
  <si>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</si>
  <si>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</si>
  <si>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</si>
  <si>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</si>
  <si>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</si>
  <si>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</si>
  <si>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Net Block</t>
  </si>
  <si>
    <t>Capital Work in Progress</t>
  </si>
  <si>
    <t>Investments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</si>
  <si>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</si>
  <si>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</si>
  <si>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</si>
  <si>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</si>
  <si>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</si>
  <si>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</si>
  <si>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</si>
  <si>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</si>
  <si>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</si>
  <si>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</si>
  <si>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</si>
  <si>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Actual</t>
  </si>
  <si>
    <t>Forecast</t>
  </si>
  <si>
    <t>Data sheet</t>
  </si>
  <si>
    <t>Balance sheet Check</t>
  </si>
  <si>
    <t>Current date</t>
  </si>
  <si>
    <t>Model Period</t>
  </si>
  <si>
    <t>Y</t>
  </si>
  <si>
    <t>Months in Period</t>
  </si>
  <si>
    <t>Year</t>
  </si>
  <si>
    <t>Quarter</t>
  </si>
  <si>
    <t>Month</t>
  </si>
  <si>
    <t>Base_Revenue_Growth</t>
  </si>
  <si>
    <t>Base_EBITDA_Margin</t>
  </si>
  <si>
    <t>Base_Tax_Rate</t>
  </si>
  <si>
    <t>Base_WACC</t>
  </si>
  <si>
    <t>Terminal_Growth_Rate</t>
  </si>
  <si>
    <t>Working_Capital_Change</t>
  </si>
  <si>
    <t>Revenue_Sensitivity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</si>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</sst>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[&lt;2026]0&quot;A&quot;;0&quot;F&quot;"/>
    <numFmt numFmtId="165" formatCode="[$-409]mmm\-yy;@"/>
    <numFmt numFmtId="166" formatCode="_(* #,##0.00_);_(* \(#,##0.00\);_(* &quot;-&quot;??_);_(@_)"/>
    <numFmt numFmtId="167" formatCode="mm/yyyy"/>
  </numFmts>
  <fonts count="1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Calibri"/>
      <family val="2"/>
    </font>
    <font>
      <b/>
      <i/>
      <sz val="11"/>
      <color rgb="FF00206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/>
    <xf numFmtId="0" fontId="5" fillId="0" borderId="0"/>
  </cellStyleXfs>
  <cellXfs count="33">
    <xf numFmtId="0" fontId="0" fillId="0" borderId="0" xfId="0"/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/>
    <xf numFmtId="9" fontId="0" fillId="0" borderId="0" xfId="1" applyFont="1"/>
    <xf numFmtId="43" fontId="6" fillId="0" borderId="0" xfId="2" applyFont="1" applyBorder="1"/>
    <xf numFmtId="43" fontId="0" fillId="0" borderId="0" xfId="2" applyFont="1" applyBorder="1"/>
    <xf numFmtId="0" fontId="5" fillId="0" borderId="0" xfId="5"/>
    <xf numFmtId="165" fontId="8" fillId="3" borderId="0" xfId="2" applyNumberFormat="1" applyFont="1" applyFill="1" applyBorder="1"/>
    <xf numFmtId="165" fontId="8" fillId="3" borderId="0" xfId="5" applyNumberFormat="1" applyFont="1" applyFill="1" applyAlignment="1">
      <alignment horizontal="center"/>
    </xf>
    <xf numFmtId="165" fontId="9" fillId="0" borderId="0" xfId="2" applyNumberFormat="1" applyFont="1" applyFill="1" applyBorder="1"/>
    <xf numFmtId="43" fontId="5" fillId="0" borderId="0" xfId="2" applyFont="1" applyBorder="1"/>
    <xf numFmtId="166" fontId="0" fillId="0" borderId="0" xfId="2" applyNumberFormat="1" applyFont="1" applyBorder="1"/>
    <xf numFmtId="0" fontId="5" fillId="4" borderId="0" xfId="5" applyFill="1"/>
    <xf numFmtId="0" fontId="0" fillId="5" borderId="0" xfId="0" applyFill="1" applyAlignment="1">
      <alignment vertical="center" wrapText="1"/>
    </xf>
    <xf numFmtId="164" fontId="3" fillId="6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7" fontId="3" fillId="8" borderId="0" xfId="0" applyNumberFormat="1" applyFont="1" applyFill="1" applyAlignment="1">
      <alignment horizontal="center"/>
    </xf>
    <xf numFmtId="0" fontId="11" fillId="9" borderId="0" xfId="0" applyFont="1" applyFill="1"/>
    <xf numFmtId="0" fontId="12" fillId="10" borderId="0" xfId="0" applyFont="1" applyFill="1"/>
    <xf numFmtId="9" fontId="10" fillId="11" borderId="0" xfId="1" applyFont="1" applyFill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3" fillId="0" borderId="0" xfId="0" applyFont="1"/>
    <xf numFmtId="15" fontId="5" fillId="0" borderId="0" xfId="5" applyNumberFormat="1"/>
    <xf numFmtId="0" fontId="13" fillId="0" borderId="0" xfId="5" applyFont="1" applyAlignment="1">
      <alignment horizontal="left"/>
    </xf>
    <xf numFmtId="14" fontId="5" fillId="0" borderId="0" xfId="5" applyNumberFormat="1" applyAlignment="1">
      <alignment horizontal="center"/>
    </xf>
    <xf numFmtId="0" fontId="5" fillId="0" borderId="0" xfId="5" applyAlignment="1">
      <alignment horizontal="center"/>
    </xf>
    <xf numFmtId="14" fontId="5" fillId="0" borderId="0" xfId="5" applyNumberFormat="1"/>
    <xf numFmtId="43" fontId="4" fillId="0" borderId="0" xfId="3" applyNumberFormat="1" applyBorder="1" applyAlignment="1" applyProtection="1">
      <alignment horizontal="center"/>
    </xf>
    <xf numFmtId="43" fontId="8" fillId="2" borderId="0" xfId="4" applyNumberFormat="1" applyFont="1" applyBorder="1" applyAlignment="1">
      <alignment horizontal="center"/>
    </xf>
  </cellXfs>
  <cellStyles count="6">
    <cellStyle name="Accent6 2" xfId="4" xr:uid="{18A4C508-6872-4EBC-9F3D-C354E3CF18EF}"/>
    <cellStyle name="Comma 2" xfId="2" xr:uid="{69CCE34F-5B3D-4819-9FCF-BDCCF00A0559}"/>
    <cellStyle name="Hyperlink 2" xfId="3" xr:uid="{0B98BA6C-CEC3-4DB7-9B8E-C284D32C35D0}"/>
    <cellStyle name="Normal" xfId="0" builtinId="0"/>
    <cellStyle name="Normal 2" xfId="5" xr:uid="{F18B9732-CCAB-4DB5-82A3-7442A4441AA8}"/>
    <cellStyle name="Percent" xfId="1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1" defaultTableStyle="TableStyleMedium2" defaultPivotStyle="PivotStyleLight16">
    <tableStyle name="Invisible" pivot="0" table="0" count="0" xr9:uid="{7C5303F8-B3CD-4EA8-A51D-AA36641AE5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369C-C17B-44AB-8CF5-809EFEAA9E54}">
  <sheetPr>
    <tabColor theme="5" tint="0.59999389629810485"/>
  </sheetPr>
  <dimension ref="A1:O11"/>
  <sheetViews>
    <sheetView showGridLines="0" workbookViewId="0">
      <selection activeCell="B6" sqref="B6"/>
    </sheetView>
  </sheetViews>
  <sheetFormatPr defaultRowHeight="14.4" x14ac:dyDescent="0.3"/>
  <cols>
    <col min="1" max="1" width="16.6640625" style="7" customWidth="1"/>
    <col min="2" max="2" width="10.33203125" style="7" bestFit="1" customWidth="1"/>
    <col min="3" max="3" width="9.6640625" style="7" bestFit="1" customWidth="1"/>
    <col min="4" max="15" width="9.44140625" style="7" bestFit="1" customWidth="1"/>
    <col min="16" max="16384" width="8.88671875" style="7"/>
  </cols>
  <sheetData>
    <row r="1" spans="1:15" x14ac:dyDescent="0.3">
      <c r="C1" s="26">
        <v>43466</v>
      </c>
      <c r="D1" s="26">
        <f>C2+1</f>
        <v>43831</v>
      </c>
      <c r="E1" s="26">
        <f t="shared" ref="E1:O1" si="0">D2+1</f>
        <v>44197</v>
      </c>
      <c r="F1" s="26">
        <f t="shared" si="0"/>
        <v>44562</v>
      </c>
      <c r="G1" s="26">
        <f t="shared" si="0"/>
        <v>44927</v>
      </c>
      <c r="H1" s="26">
        <f t="shared" si="0"/>
        <v>45292</v>
      </c>
      <c r="I1" s="26">
        <f t="shared" si="0"/>
        <v>45658</v>
      </c>
      <c r="J1" s="26">
        <f t="shared" si="0"/>
        <v>46023</v>
      </c>
      <c r="K1" s="26">
        <f t="shared" si="0"/>
        <v>46388</v>
      </c>
      <c r="L1" s="26">
        <f t="shared" si="0"/>
        <v>46753</v>
      </c>
      <c r="M1" s="26">
        <f t="shared" si="0"/>
        <v>47119</v>
      </c>
      <c r="N1" s="26">
        <f t="shared" si="0"/>
        <v>47484</v>
      </c>
      <c r="O1" s="26">
        <f t="shared" si="0"/>
        <v>47849</v>
      </c>
    </row>
    <row r="2" spans="1:15" x14ac:dyDescent="0.3">
      <c r="C2" s="26">
        <f>EOMONTH(C1,$B$7-1)</f>
        <v>43830</v>
      </c>
      <c r="D2" s="26">
        <f t="shared" ref="D2:O2" si="1">EOMONTH(D1,$B$7-1)</f>
        <v>44196</v>
      </c>
      <c r="E2" s="26">
        <f t="shared" si="1"/>
        <v>44561</v>
      </c>
      <c r="F2" s="26">
        <f t="shared" si="1"/>
        <v>44926</v>
      </c>
      <c r="G2" s="26">
        <f t="shared" si="1"/>
        <v>45291</v>
      </c>
      <c r="H2" s="26">
        <f t="shared" si="1"/>
        <v>45657</v>
      </c>
      <c r="I2" s="26">
        <f t="shared" si="1"/>
        <v>46022</v>
      </c>
      <c r="J2" s="26">
        <f t="shared" si="1"/>
        <v>46387</v>
      </c>
      <c r="K2" s="26">
        <f t="shared" si="1"/>
        <v>46752</v>
      </c>
      <c r="L2" s="26">
        <f t="shared" si="1"/>
        <v>47118</v>
      </c>
      <c r="M2" s="26">
        <f t="shared" si="1"/>
        <v>47483</v>
      </c>
      <c r="N2" s="26">
        <f t="shared" si="1"/>
        <v>47848</v>
      </c>
      <c r="O2" s="26">
        <f t="shared" si="1"/>
        <v>48213</v>
      </c>
    </row>
    <row r="5" spans="1:15" x14ac:dyDescent="0.3">
      <c r="A5" s="27" t="s">
        <v>130</v>
      </c>
      <c r="B5" s="28">
        <v>45853</v>
      </c>
    </row>
    <row r="6" spans="1:15" x14ac:dyDescent="0.3">
      <c r="A6" s="27" t="s">
        <v>131</v>
      </c>
      <c r="B6" s="29" t="s">
        <v>132</v>
      </c>
    </row>
    <row r="7" spans="1:15" x14ac:dyDescent="0.3">
      <c r="A7" s="27" t="s">
        <v>133</v>
      </c>
      <c r="B7" s="29">
        <f>IF($B$6="Y",12,IF($B$6="Q",3,1))</f>
        <v>12</v>
      </c>
    </row>
    <row r="9" spans="1:15" x14ac:dyDescent="0.3">
      <c r="A9" s="7" t="s">
        <v>134</v>
      </c>
      <c r="B9" s="30">
        <f>DATE(C9,1,1)</f>
        <v>45658</v>
      </c>
      <c r="C9" s="7">
        <f>YEAR(B5)</f>
        <v>2025</v>
      </c>
    </row>
    <row r="10" spans="1:15" x14ac:dyDescent="0.3">
      <c r="A10" s="7" t="s">
        <v>135</v>
      </c>
    </row>
    <row r="11" spans="1:15" x14ac:dyDescent="0.3">
      <c r="A11" s="7" t="s">
        <v>136</v>
      </c>
    </row>
  </sheetData>
  <dataValidations count="1">
    <dataValidation type="list" allowBlank="1" showInputMessage="1" showErrorMessage="1" sqref="B6" xr:uid="{7CC6E349-5236-441B-B8BD-30DAE132219C}">
      <formula1>"Y, Q, 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4199-BBCC-4E89-A2CF-FD56BA9A005F}">
  <dimension ref="B2:U71"/>
  <sheetViews>
    <sheetView showGridLines="0" workbookViewId="0">
      <pane ySplit="4" topLeftCell="A5" activePane="bottomLeft" state="frozen"/>
      <selection pane="bottomLeft" activeCell="F49" sqref="F49"/>
    </sheetView>
  </sheetViews>
  <sheetFormatPr defaultRowHeight="14.4" x14ac:dyDescent="0.3"/>
  <cols>
    <col min="1" max="1" width="2.109375" customWidth="1"/>
    <col min="2" max="2" width="3.44140625" customWidth="1"/>
    <col min="3" max="3" width="27.88671875" customWidth="1"/>
    <col min="4" max="5" width="0" hidden="1" customWidth="1"/>
  </cols>
  <sheetData>
    <row r="2" spans="2:20" x14ac:dyDescent="0.3">
      <c r="C2" s="18" t="str">
        <f>"Analysis sheet of" &amp; " " &amp;'Data Sheet'!B1</f>
        <v>Analysis sheet of AVANTEL LTD</v>
      </c>
    </row>
    <row r="3" spans="2:20" x14ac:dyDescent="0.3">
      <c r="D3" s="17">
        <v>41729</v>
      </c>
      <c r="E3" s="17">
        <v>42094</v>
      </c>
      <c r="F3" s="17">
        <v>42460</v>
      </c>
      <c r="G3" s="17">
        <v>42825</v>
      </c>
      <c r="H3" s="17">
        <v>43190</v>
      </c>
      <c r="I3" s="17">
        <v>43555</v>
      </c>
      <c r="J3" s="17">
        <v>43921</v>
      </c>
      <c r="K3" s="17">
        <v>44286</v>
      </c>
      <c r="L3" s="17">
        <v>44651</v>
      </c>
      <c r="M3" s="17">
        <v>45016</v>
      </c>
      <c r="N3" s="17">
        <v>45382</v>
      </c>
      <c r="O3" s="17">
        <v>45747</v>
      </c>
      <c r="P3" s="17">
        <v>46112</v>
      </c>
      <c r="Q3" s="17">
        <v>46477</v>
      </c>
      <c r="R3" s="17">
        <v>46843</v>
      </c>
      <c r="S3" s="17">
        <v>47208</v>
      </c>
      <c r="T3" s="17">
        <v>47573</v>
      </c>
    </row>
    <row r="4" spans="2:20" x14ac:dyDescent="0.3">
      <c r="D4" s="15" t="s">
        <v>126</v>
      </c>
      <c r="E4" s="15" t="s">
        <v>126</v>
      </c>
      <c r="F4" s="15" t="s">
        <v>126</v>
      </c>
      <c r="G4" s="15" t="s">
        <v>126</v>
      </c>
      <c r="H4" s="15" t="s">
        <v>126</v>
      </c>
      <c r="I4" s="15" t="s">
        <v>126</v>
      </c>
      <c r="J4" s="15" t="s">
        <v>126</v>
      </c>
      <c r="K4" s="15" t="s">
        <v>126</v>
      </c>
      <c r="L4" s="15" t="s">
        <v>126</v>
      </c>
      <c r="M4" s="15" t="s">
        <v>126</v>
      </c>
      <c r="N4" s="15" t="s">
        <v>126</v>
      </c>
      <c r="O4" s="15" t="s">
        <v>126</v>
      </c>
      <c r="P4" s="16" t="s">
        <v>127</v>
      </c>
      <c r="Q4" s="16" t="s">
        <v>127</v>
      </c>
      <c r="R4" s="16" t="s">
        <v>127</v>
      </c>
      <c r="S4" s="16" t="s">
        <v>127</v>
      </c>
      <c r="T4" s="16" t="s">
        <v>127</v>
      </c>
    </row>
    <row r="5" spans="2:20" x14ac:dyDescent="0.3">
      <c r="B5" s="3" t="s">
        <v>4</v>
      </c>
      <c r="C5" s="19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x14ac:dyDescent="0.3">
      <c r="C6" t="s">
        <v>0</v>
      </c>
      <c r="D6" s="21">
        <f>IFERROR(INDEX('Data Sheet'!$B$17:$O$31, MATCH($C6, 'Data Sheet'!$A$17:$A$31, 0), MATCH(D$3, 'Data Sheet'!$B$16:$O$16, 0)), 0)</f>
        <v>0</v>
      </c>
      <c r="E6" s="21">
        <f>IFERROR(INDEX('Data Sheet'!$B$17:$O$31, MATCH($C6, 'Data Sheet'!$A$17:$A$31, 0), MATCH(E$3, 'Data Sheet'!$B$16:$O$16, 0)), 0)</f>
        <v>0</v>
      </c>
      <c r="F6" s="21">
        <f>IFERROR(INDEX('Data Sheet'!$B$17:$O$31, MATCH($C6, 'Data Sheet'!$A$17:$A$31, 0), MATCH(F$3, 'Data Sheet'!$B$16:$O$16, 0)), 0)</f>
        <v>24.63</v>
      </c>
      <c r="G6" s="21">
        <f>IFERROR(INDEX('Data Sheet'!$B$17:$O$31, MATCH($C6, 'Data Sheet'!$A$17:$A$31, 0), MATCH(G$3, 'Data Sheet'!$B$16:$O$16, 0)), 0)</f>
        <v>33.58</v>
      </c>
      <c r="H6" s="21">
        <f>IFERROR(INDEX('Data Sheet'!$B$17:$O$31, MATCH($C6, 'Data Sheet'!$A$17:$A$31, 0), MATCH(H$3, 'Data Sheet'!$B$16:$O$16, 0)), 0)</f>
        <v>51.7</v>
      </c>
      <c r="I6" s="21">
        <f>IFERROR(INDEX('Data Sheet'!$B$17:$O$31, MATCH($C6, 'Data Sheet'!$A$17:$A$31, 0), MATCH(I$3, 'Data Sheet'!$B$16:$O$16, 0)), 0)</f>
        <v>50.51</v>
      </c>
      <c r="J6" s="21">
        <f>IFERROR(INDEX('Data Sheet'!$B$17:$O$31, MATCH($C6, 'Data Sheet'!$A$17:$A$31, 0), MATCH(J$3, 'Data Sheet'!$B$16:$O$16, 0)), 0)</f>
        <v>51.92</v>
      </c>
      <c r="K6" s="21">
        <f>IFERROR(INDEX('Data Sheet'!$B$17:$O$31, MATCH($C6, 'Data Sheet'!$A$17:$A$31, 0), MATCH(K$3, 'Data Sheet'!$B$16:$O$16, 0)), 0)</f>
        <v>77.69</v>
      </c>
      <c r="L6" s="21">
        <f>IFERROR(INDEX('Data Sheet'!$B$17:$O$31, MATCH($C6, 'Data Sheet'!$A$17:$A$31, 0), MATCH(L$3, 'Data Sheet'!$B$16:$O$16, 0)), 0)</f>
        <v>104.94</v>
      </c>
      <c r="M6" s="21">
        <f>IFERROR(INDEX('Data Sheet'!$B$17:$O$31, MATCH($C6, 'Data Sheet'!$A$17:$A$31, 0), MATCH(M$3, 'Data Sheet'!$B$16:$O$16, 0)), 0)</f>
        <v>154.26</v>
      </c>
      <c r="N6" s="21">
        <f>IFERROR(INDEX('Data Sheet'!$B$17:$O$31, MATCH($C6, 'Data Sheet'!$A$17:$A$31, 0), MATCH(N$3, 'Data Sheet'!$B$16:$O$16, 0)), 0)</f>
        <v>223.92</v>
      </c>
      <c r="O6" s="21">
        <f>IFERROR(INDEX('Data Sheet'!$B$17:$O$31, MATCH($C6, 'Data Sheet'!$A$17:$A$31, 0), MATCH(O$3, 'Data Sheet'!$B$16:$O$16, 0)), 0)</f>
        <v>248.48</v>
      </c>
      <c r="P6" s="21">
        <f>IFERROR(INDEX('Data Sheet'!$B$17:$O$31, MATCH($C6, 'Data Sheet'!$A$17:$A$31, 0), MATCH(P$3, 'Data Sheet'!$B$16:$O$16, 0)), 0)</f>
        <v>0</v>
      </c>
      <c r="Q6" s="21">
        <f>IFERROR(INDEX('Data Sheet'!$B$17:$O$31, MATCH($C6, 'Data Sheet'!$A$17:$A$31, 0), MATCH(Q$3, 'Data Sheet'!$B$16:$O$16, 0)), 0)</f>
        <v>0</v>
      </c>
      <c r="R6" s="21">
        <f>IFERROR(INDEX('Data Sheet'!$B$17:$O$31, MATCH($C6, 'Data Sheet'!$A$17:$A$31, 0), MATCH(R$3, 'Data Sheet'!$B$16:$O$16, 0)), 0)</f>
        <v>0</v>
      </c>
      <c r="S6" s="21">
        <f>IFERROR(INDEX('Data Sheet'!$B$17:$O$31, MATCH($C6, 'Data Sheet'!$A$17:$A$31, 0), MATCH(S$3, 'Data Sheet'!$B$16:$O$16, 0)), 0)</f>
        <v>0</v>
      </c>
      <c r="T6" s="21">
        <f>IFERROR(INDEX('Data Sheet'!$B$17:$O$31, MATCH($C6, 'Data Sheet'!$A$17:$A$31, 0), MATCH(T$3, 'Data Sheet'!$B$16:$O$16, 0)), 0)</f>
        <v>0</v>
      </c>
    </row>
    <row r="7" spans="2:20" x14ac:dyDescent="0.3">
      <c r="C7" t="s">
        <v>1</v>
      </c>
      <c r="D7" s="21">
        <f>IFERROR(INDEX('Data Sheet'!$B$17:$O$31, MATCH($C7, 'Data Sheet'!$A$17:$A$31, 0), MATCH(D$3, 'Data Sheet'!$B$16:$O$16, 0)), 0)</f>
        <v>0</v>
      </c>
      <c r="E7" s="21">
        <f>IFERROR(INDEX('Data Sheet'!$B$17:$O$31, MATCH($C7, 'Data Sheet'!$A$17:$A$31, 0), MATCH(E$3, 'Data Sheet'!$B$16:$O$16, 0)), 0)</f>
        <v>0</v>
      </c>
      <c r="F7" s="21">
        <f>IFERROR(INDEX('Data Sheet'!$B$17:$O$31, MATCH($C7, 'Data Sheet'!$A$17:$A$31, 0), MATCH(F$3, 'Data Sheet'!$B$16:$O$16, 0)), 0)</f>
        <v>0.4</v>
      </c>
      <c r="G7" s="21">
        <f>IFERROR(INDEX('Data Sheet'!$B$17:$O$31, MATCH($C7, 'Data Sheet'!$A$17:$A$31, 0), MATCH(G$3, 'Data Sheet'!$B$16:$O$16, 0)), 0)</f>
        <v>0.51</v>
      </c>
      <c r="H7" s="21">
        <f>IFERROR(INDEX('Data Sheet'!$B$17:$O$31, MATCH($C7, 'Data Sheet'!$A$17:$A$31, 0), MATCH(H$3, 'Data Sheet'!$B$16:$O$16, 0)), 0)</f>
        <v>15.44</v>
      </c>
      <c r="I7" s="21">
        <f>IFERROR(INDEX('Data Sheet'!$B$17:$O$31, MATCH($C7, 'Data Sheet'!$A$17:$A$31, 0), MATCH(I$3, 'Data Sheet'!$B$16:$O$16, 0)), 0)</f>
        <v>0.91</v>
      </c>
      <c r="J7" s="21">
        <f>IFERROR(INDEX('Data Sheet'!$B$17:$O$31, MATCH($C7, 'Data Sheet'!$A$17:$A$31, 0), MATCH(J$3, 'Data Sheet'!$B$16:$O$16, 0)), 0)</f>
        <v>1.2</v>
      </c>
      <c r="K7" s="21">
        <f>IFERROR(INDEX('Data Sheet'!$B$17:$O$31, MATCH($C7, 'Data Sheet'!$A$17:$A$31, 0), MATCH(K$3, 'Data Sheet'!$B$16:$O$16, 0)), 0)</f>
        <v>0.87</v>
      </c>
      <c r="L7" s="21">
        <f>IFERROR(INDEX('Data Sheet'!$B$17:$O$31, MATCH($C7, 'Data Sheet'!$A$17:$A$31, 0), MATCH(L$3, 'Data Sheet'!$B$16:$O$16, 0)), 0)</f>
        <v>1.37</v>
      </c>
      <c r="M7" s="21">
        <f>IFERROR(INDEX('Data Sheet'!$B$17:$O$31, MATCH($C7, 'Data Sheet'!$A$17:$A$31, 0), MATCH(M$3, 'Data Sheet'!$B$16:$O$16, 0)), 0)</f>
        <v>0.47</v>
      </c>
      <c r="N7" s="21">
        <f>IFERROR(INDEX('Data Sheet'!$B$17:$O$31, MATCH($C7, 'Data Sheet'!$A$17:$A$31, 0), MATCH(N$3, 'Data Sheet'!$B$16:$O$16, 0)), 0)</f>
        <v>1.3</v>
      </c>
      <c r="O7" s="21">
        <f>IFERROR(INDEX('Data Sheet'!$B$17:$O$31, MATCH($C7, 'Data Sheet'!$A$17:$A$31, 0), MATCH(O$3, 'Data Sheet'!$B$16:$O$16, 0)), 0)</f>
        <v>1.76</v>
      </c>
      <c r="P7" s="21">
        <f>IFERROR(INDEX('Data Sheet'!$B$17:$O$31, MATCH($C7, 'Data Sheet'!$A$17:$A$31, 0), MATCH(P$3, 'Data Sheet'!$B$16:$O$16, 0)), 0)</f>
        <v>0</v>
      </c>
      <c r="Q7" s="21">
        <f>IFERROR(INDEX('Data Sheet'!$B$17:$O$31, MATCH($C7, 'Data Sheet'!$A$17:$A$31, 0), MATCH(Q$3, 'Data Sheet'!$B$16:$O$16, 0)), 0)</f>
        <v>0</v>
      </c>
      <c r="R7" s="21">
        <f>IFERROR(INDEX('Data Sheet'!$B$17:$O$31, MATCH($C7, 'Data Sheet'!$A$17:$A$31, 0), MATCH(R$3, 'Data Sheet'!$B$16:$O$16, 0)), 0)</f>
        <v>0</v>
      </c>
      <c r="S7" s="21">
        <f>IFERROR(INDEX('Data Sheet'!$B$17:$O$31, MATCH($C7, 'Data Sheet'!$A$17:$A$31, 0), MATCH(S$3, 'Data Sheet'!$B$16:$O$16, 0)), 0)</f>
        <v>0</v>
      </c>
      <c r="T7" s="21">
        <f>IFERROR(INDEX('Data Sheet'!$B$17:$O$31, MATCH($C7, 'Data Sheet'!$A$17:$A$31, 0), MATCH(T$3, 'Data Sheet'!$B$16:$O$16, 0)), 0)</f>
        <v>0</v>
      </c>
    </row>
    <row r="8" spans="2:20" x14ac:dyDescent="0.3"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2:20" x14ac:dyDescent="0.3">
      <c r="C9" t="s">
        <v>2</v>
      </c>
      <c r="D9" s="21">
        <f>D6+D7</f>
        <v>0</v>
      </c>
      <c r="E9" s="21">
        <f t="shared" ref="E9:T9" si="0">E6+E7</f>
        <v>0</v>
      </c>
      <c r="F9" s="21">
        <f t="shared" si="0"/>
        <v>25.029999999999998</v>
      </c>
      <c r="G9" s="21">
        <f t="shared" si="0"/>
        <v>34.089999999999996</v>
      </c>
      <c r="H9" s="21">
        <f t="shared" si="0"/>
        <v>67.14</v>
      </c>
      <c r="I9" s="21">
        <f t="shared" si="0"/>
        <v>51.419999999999995</v>
      </c>
      <c r="J9" s="21">
        <f t="shared" si="0"/>
        <v>53.120000000000005</v>
      </c>
      <c r="K9" s="21">
        <f t="shared" si="0"/>
        <v>78.56</v>
      </c>
      <c r="L9" s="21">
        <f t="shared" si="0"/>
        <v>106.31</v>
      </c>
      <c r="M9" s="21">
        <f t="shared" si="0"/>
        <v>154.72999999999999</v>
      </c>
      <c r="N9" s="21">
        <f t="shared" si="0"/>
        <v>225.22</v>
      </c>
      <c r="O9" s="21">
        <f t="shared" si="0"/>
        <v>250.23999999999998</v>
      </c>
      <c r="P9" s="21">
        <f t="shared" si="0"/>
        <v>0</v>
      </c>
      <c r="Q9" s="21">
        <f t="shared" si="0"/>
        <v>0</v>
      </c>
      <c r="R9" s="21">
        <f t="shared" si="0"/>
        <v>0</v>
      </c>
      <c r="S9" s="21">
        <f t="shared" si="0"/>
        <v>0</v>
      </c>
      <c r="T9" s="21">
        <f t="shared" si="0"/>
        <v>0</v>
      </c>
    </row>
    <row r="10" spans="2:20" x14ac:dyDescent="0.3">
      <c r="C10" t="s">
        <v>3</v>
      </c>
      <c r="D10" s="20">
        <f>IFERROR(D7/D9,0)</f>
        <v>0</v>
      </c>
      <c r="E10" s="20">
        <f t="shared" ref="E10:T10" si="1">IFERROR(E7/E9,0)</f>
        <v>0</v>
      </c>
      <c r="F10" s="20">
        <f t="shared" si="1"/>
        <v>1.598082301238514E-2</v>
      </c>
      <c r="G10" s="20">
        <f t="shared" si="1"/>
        <v>1.4960398943971841E-2</v>
      </c>
      <c r="H10" s="20">
        <f t="shared" si="1"/>
        <v>0.22996723264819779</v>
      </c>
      <c r="I10" s="20">
        <f t="shared" si="1"/>
        <v>1.7697394010112798E-2</v>
      </c>
      <c r="J10" s="20">
        <f t="shared" si="1"/>
        <v>2.2590361445783129E-2</v>
      </c>
      <c r="K10" s="20">
        <f t="shared" si="1"/>
        <v>1.1074338085539714E-2</v>
      </c>
      <c r="L10" s="20">
        <f t="shared" si="1"/>
        <v>1.2886840372495533E-2</v>
      </c>
      <c r="M10" s="20">
        <f t="shared" si="1"/>
        <v>3.0375492793899049E-3</v>
      </c>
      <c r="N10" s="20">
        <f t="shared" si="1"/>
        <v>5.7721339135067933E-3</v>
      </c>
      <c r="O10" s="20">
        <f t="shared" si="1"/>
        <v>7.0332480818414327E-3</v>
      </c>
      <c r="P10" s="20">
        <f t="shared" si="1"/>
        <v>0</v>
      </c>
      <c r="Q10" s="20">
        <f t="shared" si="1"/>
        <v>0</v>
      </c>
      <c r="R10" s="20">
        <f t="shared" si="1"/>
        <v>0</v>
      </c>
      <c r="S10" s="20">
        <f t="shared" si="1"/>
        <v>0</v>
      </c>
      <c r="T10" s="20">
        <f t="shared" si="1"/>
        <v>0</v>
      </c>
    </row>
    <row r="12" spans="2:20" x14ac:dyDescent="0.3">
      <c r="B12" s="3" t="s">
        <v>6</v>
      </c>
      <c r="C12" s="19" t="s">
        <v>13</v>
      </c>
    </row>
    <row r="14" spans="2:20" x14ac:dyDescent="0.3">
      <c r="C14" t="s">
        <v>104</v>
      </c>
      <c r="D14" s="21">
        <f>IFERROR(INDEX('Data Sheet'!$B$17:$O$31, MATCH($C14, 'Data Sheet'!$A$17:$A$31, 0), MATCH(D$3, 'Data Sheet'!$B$16:$O$16, 0)), 0)</f>
        <v>0</v>
      </c>
      <c r="E14" s="21">
        <f>IFERROR(INDEX('Data Sheet'!$B$17:$O$31, MATCH($C14, 'Data Sheet'!$A$17:$A$31, 0), MATCH(E$3, 'Data Sheet'!$B$16:$O$16, 0)), 0)</f>
        <v>0</v>
      </c>
      <c r="F14" s="21">
        <f>IFERROR(INDEX('Data Sheet'!$B$17:$O$31, MATCH($C14, 'Data Sheet'!$A$17:$A$31, 0), MATCH(F$3, 'Data Sheet'!$B$16:$O$16, 0)), 0)</f>
        <v>9.69</v>
      </c>
      <c r="G14" s="21">
        <f>IFERROR(INDEX('Data Sheet'!$B$17:$O$31, MATCH($C14, 'Data Sheet'!$A$17:$A$31, 0), MATCH(G$3, 'Data Sheet'!$B$16:$O$16, 0)), 0)</f>
        <v>10.02</v>
      </c>
      <c r="H14" s="21">
        <f>IFERROR(INDEX('Data Sheet'!$B$17:$O$31, MATCH($C14, 'Data Sheet'!$A$17:$A$31, 0), MATCH(H$3, 'Data Sheet'!$B$16:$O$16, 0)), 0)</f>
        <v>17.5</v>
      </c>
      <c r="I14" s="21">
        <f>IFERROR(INDEX('Data Sheet'!$B$17:$O$31, MATCH($C14, 'Data Sheet'!$A$17:$A$31, 0), MATCH(I$3, 'Data Sheet'!$B$16:$O$16, 0)), 0)</f>
        <v>11.3</v>
      </c>
      <c r="J14" s="21">
        <f>IFERROR(INDEX('Data Sheet'!$B$17:$O$31, MATCH($C14, 'Data Sheet'!$A$17:$A$31, 0), MATCH(J$3, 'Data Sheet'!$B$16:$O$16, 0)), 0)</f>
        <v>13.95</v>
      </c>
      <c r="K14" s="21">
        <f>IFERROR(INDEX('Data Sheet'!$B$17:$O$31, MATCH($C14, 'Data Sheet'!$A$17:$A$31, 0), MATCH(K$3, 'Data Sheet'!$B$16:$O$16, 0)), 0)</f>
        <v>26.57</v>
      </c>
      <c r="L14" s="21">
        <f>IFERROR(INDEX('Data Sheet'!$B$17:$O$31, MATCH($C14, 'Data Sheet'!$A$17:$A$31, 0), MATCH(L$3, 'Data Sheet'!$B$16:$O$16, 0)), 0)</f>
        <v>50.69</v>
      </c>
      <c r="M14" s="21">
        <f>IFERROR(INDEX('Data Sheet'!$B$17:$O$31, MATCH($C14, 'Data Sheet'!$A$17:$A$31, 0), MATCH(M$3, 'Data Sheet'!$B$16:$O$16, 0)), 0)</f>
        <v>76.58</v>
      </c>
      <c r="N14" s="21">
        <f>IFERROR(INDEX('Data Sheet'!$B$17:$O$31, MATCH($C14, 'Data Sheet'!$A$17:$A$31, 0), MATCH(N$3, 'Data Sheet'!$B$16:$O$16, 0)), 0)</f>
        <v>77.23</v>
      </c>
      <c r="O14" s="21">
        <f>IFERROR(INDEX('Data Sheet'!$B$17:$O$31, MATCH($C14, 'Data Sheet'!$A$17:$A$31, 0), MATCH(O$3, 'Data Sheet'!$B$16:$O$16, 0)), 0)</f>
        <v>83.22</v>
      </c>
      <c r="P14" s="21">
        <f>IFERROR(INDEX('Data Sheet'!$B$17:$O$31, MATCH($C14, 'Data Sheet'!$A$17:$A$31, 0), MATCH(P$3, 'Data Sheet'!$B$16:$O$16, 0)), 0)</f>
        <v>0</v>
      </c>
      <c r="Q14" s="21">
        <f>IFERROR(INDEX('Data Sheet'!$B$17:$O$31, MATCH($C14, 'Data Sheet'!$A$17:$A$31, 0), MATCH(Q$3, 'Data Sheet'!$B$16:$O$16, 0)), 0)</f>
        <v>0</v>
      </c>
      <c r="R14" s="21">
        <f>IFERROR(INDEX('Data Sheet'!$B$17:$O$31, MATCH($C14, 'Data Sheet'!$A$17:$A$31, 0), MATCH(R$3, 'Data Sheet'!$B$16:$O$16, 0)), 0)</f>
        <v>0</v>
      </c>
      <c r="S14" s="21">
        <f>IFERROR(INDEX('Data Sheet'!$B$17:$O$31, MATCH($C14, 'Data Sheet'!$A$17:$A$31, 0), MATCH(S$3, 'Data Sheet'!$B$16:$O$16, 0)), 0)</f>
        <v>0</v>
      </c>
      <c r="T14" s="21">
        <f>IFERROR(INDEX('Data Sheet'!$B$17:$O$31, MATCH($C14, 'Data Sheet'!$A$17:$A$31, 0), MATCH(T$3, 'Data Sheet'!$B$16:$O$16, 0)), 0)</f>
        <v>0</v>
      </c>
    </row>
    <row r="15" spans="2:20" x14ac:dyDescent="0.3">
      <c r="C15" t="s">
        <v>34</v>
      </c>
      <c r="D15" s="21">
        <f>IFERROR(INDEX('Data Sheet'!$B$17:$O$31, MATCH($C15, 'Data Sheet'!$A$17:$A$31, 0), MATCH(D$3, 'Data Sheet'!$B$16:$O$16, 0)), 0)</f>
        <v>0</v>
      </c>
      <c r="E15" s="21">
        <f>IFERROR(INDEX('Data Sheet'!$B$17:$O$31, MATCH($C15, 'Data Sheet'!$A$17:$A$31, 0), MATCH(E$3, 'Data Sheet'!$B$16:$O$16, 0)), 0)</f>
        <v>0</v>
      </c>
      <c r="F15" s="21">
        <f>IFERROR(INDEX('Data Sheet'!$B$17:$O$31, MATCH($C15, 'Data Sheet'!$A$17:$A$31, 0), MATCH(F$3, 'Data Sheet'!$B$16:$O$16, 0)), 0)</f>
        <v>1.45</v>
      </c>
      <c r="G15" s="21">
        <f>IFERROR(INDEX('Data Sheet'!$B$17:$O$31, MATCH($C15, 'Data Sheet'!$A$17:$A$31, 0), MATCH(G$3, 'Data Sheet'!$B$16:$O$16, 0)), 0)</f>
        <v>-4.7699999999999996</v>
      </c>
      <c r="H15" s="21">
        <f>IFERROR(INDEX('Data Sheet'!$B$17:$O$31, MATCH($C15, 'Data Sheet'!$A$17:$A$31, 0), MATCH(H$3, 'Data Sheet'!$B$16:$O$16, 0)), 0)</f>
        <v>-2.42</v>
      </c>
      <c r="I15" s="21">
        <f>IFERROR(INDEX('Data Sheet'!$B$17:$O$31, MATCH($C15, 'Data Sheet'!$A$17:$A$31, 0), MATCH(I$3, 'Data Sheet'!$B$16:$O$16, 0)), 0)</f>
        <v>-2.99</v>
      </c>
      <c r="J15" s="21">
        <f>IFERROR(INDEX('Data Sheet'!$B$17:$O$31, MATCH($C15, 'Data Sheet'!$A$17:$A$31, 0), MATCH(J$3, 'Data Sheet'!$B$16:$O$16, 0)), 0)</f>
        <v>0.59</v>
      </c>
      <c r="K15" s="21">
        <f>IFERROR(INDEX('Data Sheet'!$B$17:$O$31, MATCH($C15, 'Data Sheet'!$A$17:$A$31, 0), MATCH(K$3, 'Data Sheet'!$B$16:$O$16, 0)), 0)</f>
        <v>-0.42</v>
      </c>
      <c r="L15" s="21">
        <f>IFERROR(INDEX('Data Sheet'!$B$17:$O$31, MATCH($C15, 'Data Sheet'!$A$17:$A$31, 0), MATCH(L$3, 'Data Sheet'!$B$16:$O$16, 0)), 0)</f>
        <v>4</v>
      </c>
      <c r="M15" s="21">
        <f>IFERROR(INDEX('Data Sheet'!$B$17:$O$31, MATCH($C15, 'Data Sheet'!$A$17:$A$31, 0), MATCH(M$3, 'Data Sheet'!$B$16:$O$16, 0)), 0)</f>
        <v>13.82</v>
      </c>
      <c r="N15" s="21">
        <f>IFERROR(INDEX('Data Sheet'!$B$17:$O$31, MATCH($C15, 'Data Sheet'!$A$17:$A$31, 0), MATCH(N$3, 'Data Sheet'!$B$16:$O$16, 0)), 0)</f>
        <v>0.78</v>
      </c>
      <c r="O15" s="21">
        <f>IFERROR(INDEX('Data Sheet'!$B$17:$O$31, MATCH($C15, 'Data Sheet'!$A$17:$A$31, 0), MATCH(O$3, 'Data Sheet'!$B$16:$O$16, 0)), 0)</f>
        <v>19.809999999999999</v>
      </c>
      <c r="P15" s="21">
        <f>IFERROR(INDEX('Data Sheet'!$B$17:$O$31, MATCH($C15, 'Data Sheet'!$A$17:$A$31, 0), MATCH(P$3, 'Data Sheet'!$B$16:$O$16, 0)), 0)</f>
        <v>0</v>
      </c>
      <c r="Q15" s="21">
        <f>IFERROR(INDEX('Data Sheet'!$B$17:$O$31, MATCH($C15, 'Data Sheet'!$A$17:$A$31, 0), MATCH(Q$3, 'Data Sheet'!$B$16:$O$16, 0)), 0)</f>
        <v>0</v>
      </c>
      <c r="R15" s="21">
        <f>IFERROR(INDEX('Data Sheet'!$B$17:$O$31, MATCH($C15, 'Data Sheet'!$A$17:$A$31, 0), MATCH(R$3, 'Data Sheet'!$B$16:$O$16, 0)), 0)</f>
        <v>0</v>
      </c>
      <c r="S15" s="21">
        <f>IFERROR(INDEX('Data Sheet'!$B$17:$O$31, MATCH($C15, 'Data Sheet'!$A$17:$A$31, 0), MATCH(S$3, 'Data Sheet'!$B$16:$O$16, 0)), 0)</f>
        <v>0</v>
      </c>
      <c r="T15" s="21">
        <f>IFERROR(INDEX('Data Sheet'!$B$17:$O$31, MATCH($C15, 'Data Sheet'!$A$17:$A$31, 0), MATCH(T$3, 'Data Sheet'!$B$16:$O$16, 0)), 0)</f>
        <v>0</v>
      </c>
    </row>
    <row r="16" spans="2:20" x14ac:dyDescent="0.3">
      <c r="C16" t="s">
        <v>8</v>
      </c>
      <c r="D16" s="21">
        <f>IFERROR(INDEX('Data Sheet'!$B$17:$O$31, MATCH($C16, 'Data Sheet'!$A$17:$A$31, 0), MATCH(D$3, 'Data Sheet'!$B$16:$O$16, 0)), 0)</f>
        <v>0</v>
      </c>
      <c r="E16" s="21">
        <f>IFERROR(INDEX('Data Sheet'!$B$17:$O$31, MATCH($C16, 'Data Sheet'!$A$17:$A$31, 0), MATCH(E$3, 'Data Sheet'!$B$16:$O$16, 0)), 0)</f>
        <v>0</v>
      </c>
      <c r="F16" s="21">
        <f>IFERROR(INDEX('Data Sheet'!$B$17:$O$31, MATCH($C16, 'Data Sheet'!$A$17:$A$31, 0), MATCH(F$3, 'Data Sheet'!$B$16:$O$16, 0)), 0)</f>
        <v>0.32</v>
      </c>
      <c r="G16" s="21">
        <f>IFERROR(INDEX('Data Sheet'!$B$17:$O$31, MATCH($C16, 'Data Sheet'!$A$17:$A$31, 0), MATCH(G$3, 'Data Sheet'!$B$16:$O$16, 0)), 0)</f>
        <v>0.31</v>
      </c>
      <c r="H16" s="21">
        <f>IFERROR(INDEX('Data Sheet'!$B$17:$O$31, MATCH($C16, 'Data Sheet'!$A$17:$A$31, 0), MATCH(H$3, 'Data Sheet'!$B$16:$O$16, 0)), 0)</f>
        <v>0.43</v>
      </c>
      <c r="I16" s="21">
        <f>IFERROR(INDEX('Data Sheet'!$B$17:$O$31, MATCH($C16, 'Data Sheet'!$A$17:$A$31, 0), MATCH(I$3, 'Data Sheet'!$B$16:$O$16, 0)), 0)</f>
        <v>0.47</v>
      </c>
      <c r="J16" s="21">
        <f>IFERROR(INDEX('Data Sheet'!$B$17:$O$31, MATCH($C16, 'Data Sheet'!$A$17:$A$31, 0), MATCH(J$3, 'Data Sheet'!$B$16:$O$16, 0)), 0)</f>
        <v>0.43</v>
      </c>
      <c r="K16" s="21">
        <f>IFERROR(INDEX('Data Sheet'!$B$17:$O$31, MATCH($C16, 'Data Sheet'!$A$17:$A$31, 0), MATCH(K$3, 'Data Sheet'!$B$16:$O$16, 0)), 0)</f>
        <v>0.52</v>
      </c>
      <c r="L16" s="21">
        <f>IFERROR(INDEX('Data Sheet'!$B$17:$O$31, MATCH($C16, 'Data Sheet'!$A$17:$A$31, 0), MATCH(L$3, 'Data Sheet'!$B$16:$O$16, 0)), 0)</f>
        <v>0.56999999999999995</v>
      </c>
      <c r="M16" s="21">
        <f>IFERROR(INDEX('Data Sheet'!$B$17:$O$31, MATCH($C16, 'Data Sheet'!$A$17:$A$31, 0), MATCH(M$3, 'Data Sheet'!$B$16:$O$16, 0)), 0)</f>
        <v>0.82</v>
      </c>
      <c r="N16" s="21">
        <f>IFERROR(INDEX('Data Sheet'!$B$17:$O$31, MATCH($C16, 'Data Sheet'!$A$17:$A$31, 0), MATCH(N$3, 'Data Sheet'!$B$16:$O$16, 0)), 0)</f>
        <v>1.5</v>
      </c>
      <c r="O16" s="21">
        <f>IFERROR(INDEX('Data Sheet'!$B$17:$O$31, MATCH($C16, 'Data Sheet'!$A$17:$A$31, 0), MATCH(O$3, 'Data Sheet'!$B$16:$O$16, 0)), 0)</f>
        <v>2.2599999999999998</v>
      </c>
      <c r="P16" s="21">
        <f>IFERROR(INDEX('Data Sheet'!$B$17:$O$31, MATCH($C16, 'Data Sheet'!$A$17:$A$31, 0), MATCH(P$3, 'Data Sheet'!$B$16:$O$16, 0)), 0)</f>
        <v>0</v>
      </c>
      <c r="Q16" s="21">
        <f>IFERROR(INDEX('Data Sheet'!$B$17:$O$31, MATCH($C16, 'Data Sheet'!$A$17:$A$31, 0), MATCH(Q$3, 'Data Sheet'!$B$16:$O$16, 0)), 0)</f>
        <v>0</v>
      </c>
      <c r="R16" s="21">
        <f>IFERROR(INDEX('Data Sheet'!$B$17:$O$31, MATCH($C16, 'Data Sheet'!$A$17:$A$31, 0), MATCH(R$3, 'Data Sheet'!$B$16:$O$16, 0)), 0)</f>
        <v>0</v>
      </c>
      <c r="S16" s="21">
        <f>IFERROR(INDEX('Data Sheet'!$B$17:$O$31, MATCH($C16, 'Data Sheet'!$A$17:$A$31, 0), MATCH(S$3, 'Data Sheet'!$B$16:$O$16, 0)), 0)</f>
        <v>0</v>
      </c>
      <c r="T16" s="21">
        <f>IFERROR(INDEX('Data Sheet'!$B$17:$O$31, MATCH($C16, 'Data Sheet'!$A$17:$A$31, 0), MATCH(T$3, 'Data Sheet'!$B$16:$O$16, 0)), 0)</f>
        <v>0</v>
      </c>
    </row>
    <row r="17" spans="2:20" x14ac:dyDescent="0.3">
      <c r="C17" t="s">
        <v>9</v>
      </c>
      <c r="D17" s="21">
        <f>IFERROR(INDEX('Data Sheet'!$B$17:$O$31, MATCH($C17, 'Data Sheet'!$A$17:$A$31, 0), MATCH(D$3, 'Data Sheet'!$B$16:$O$16, 0)), 0)</f>
        <v>0</v>
      </c>
      <c r="E17" s="21">
        <f>IFERROR(INDEX('Data Sheet'!$B$17:$O$31, MATCH($C17, 'Data Sheet'!$A$17:$A$31, 0), MATCH(E$3, 'Data Sheet'!$B$16:$O$16, 0)), 0)</f>
        <v>0</v>
      </c>
      <c r="F17" s="21">
        <f>IFERROR(INDEX('Data Sheet'!$B$17:$O$31, MATCH($C17, 'Data Sheet'!$A$17:$A$31, 0), MATCH(F$3, 'Data Sheet'!$B$16:$O$16, 0)), 0)</f>
        <v>2.04</v>
      </c>
      <c r="G17" s="21">
        <f>IFERROR(INDEX('Data Sheet'!$B$17:$O$31, MATCH($C17, 'Data Sheet'!$A$17:$A$31, 0), MATCH(G$3, 'Data Sheet'!$B$16:$O$16, 0)), 0)</f>
        <v>2.06</v>
      </c>
      <c r="H17" s="21">
        <f>IFERROR(INDEX('Data Sheet'!$B$17:$O$31, MATCH($C17, 'Data Sheet'!$A$17:$A$31, 0), MATCH(H$3, 'Data Sheet'!$B$16:$O$16, 0)), 0)</f>
        <v>3.09</v>
      </c>
      <c r="I17" s="21">
        <f>IFERROR(INDEX('Data Sheet'!$B$17:$O$31, MATCH($C17, 'Data Sheet'!$A$17:$A$31, 0), MATCH(I$3, 'Data Sheet'!$B$16:$O$16, 0)), 0)</f>
        <v>4.9000000000000004</v>
      </c>
      <c r="J17" s="21">
        <f>IFERROR(INDEX('Data Sheet'!$B$17:$O$31, MATCH($C17, 'Data Sheet'!$A$17:$A$31, 0), MATCH(J$3, 'Data Sheet'!$B$16:$O$16, 0)), 0)</f>
        <v>5.14</v>
      </c>
      <c r="K17" s="21">
        <f>IFERROR(INDEX('Data Sheet'!$B$17:$O$31, MATCH($C17, 'Data Sheet'!$A$17:$A$31, 0), MATCH(K$3, 'Data Sheet'!$B$16:$O$16, 0)), 0)</f>
        <v>8.8800000000000008</v>
      </c>
      <c r="L17" s="21">
        <f>IFERROR(INDEX('Data Sheet'!$B$17:$O$31, MATCH($C17, 'Data Sheet'!$A$17:$A$31, 0), MATCH(L$3, 'Data Sheet'!$B$16:$O$16, 0)), 0)</f>
        <v>7.5</v>
      </c>
      <c r="M17" s="21">
        <f>IFERROR(INDEX('Data Sheet'!$B$17:$O$31, MATCH($C17, 'Data Sheet'!$A$17:$A$31, 0), MATCH(M$3, 'Data Sheet'!$B$16:$O$16, 0)), 0)</f>
        <v>12.47</v>
      </c>
      <c r="N17" s="21">
        <f>IFERROR(INDEX('Data Sheet'!$B$17:$O$31, MATCH($C17, 'Data Sheet'!$A$17:$A$31, 0), MATCH(N$3, 'Data Sheet'!$B$16:$O$16, 0)), 0)</f>
        <v>15.77</v>
      </c>
      <c r="O17" s="21">
        <f>IFERROR(INDEX('Data Sheet'!$B$17:$O$31, MATCH($C17, 'Data Sheet'!$A$17:$A$31, 0), MATCH(O$3, 'Data Sheet'!$B$16:$O$16, 0)), 0)</f>
        <v>20.52</v>
      </c>
      <c r="P17" s="21">
        <f>IFERROR(INDEX('Data Sheet'!$B$17:$O$31, MATCH($C17, 'Data Sheet'!$A$17:$A$31, 0), MATCH(P$3, 'Data Sheet'!$B$16:$O$16, 0)), 0)</f>
        <v>0</v>
      </c>
      <c r="Q17" s="21">
        <f>IFERROR(INDEX('Data Sheet'!$B$17:$O$31, MATCH($C17, 'Data Sheet'!$A$17:$A$31, 0), MATCH(Q$3, 'Data Sheet'!$B$16:$O$16, 0)), 0)</f>
        <v>0</v>
      </c>
      <c r="R17" s="21">
        <f>IFERROR(INDEX('Data Sheet'!$B$17:$O$31, MATCH($C17, 'Data Sheet'!$A$17:$A$31, 0), MATCH(R$3, 'Data Sheet'!$B$16:$O$16, 0)), 0)</f>
        <v>0</v>
      </c>
      <c r="S17" s="21">
        <f>IFERROR(INDEX('Data Sheet'!$B$17:$O$31, MATCH($C17, 'Data Sheet'!$A$17:$A$31, 0), MATCH(S$3, 'Data Sheet'!$B$16:$O$16, 0)), 0)</f>
        <v>0</v>
      </c>
      <c r="T17" s="21">
        <f>IFERROR(INDEX('Data Sheet'!$B$17:$O$31, MATCH($C17, 'Data Sheet'!$A$17:$A$31, 0), MATCH(T$3, 'Data Sheet'!$B$16:$O$16, 0)), 0)</f>
        <v>0</v>
      </c>
    </row>
    <row r="18" spans="2:20" x14ac:dyDescent="0.3">
      <c r="C18" t="s">
        <v>10</v>
      </c>
      <c r="D18" s="21">
        <f>IFERROR(INDEX('Data Sheet'!$B$17:$O$31, MATCH($C18, 'Data Sheet'!$A$17:$A$31, 0), MATCH(D$3, 'Data Sheet'!$B$16:$O$16, 0)), 0)</f>
        <v>0</v>
      </c>
      <c r="E18" s="21">
        <f>IFERROR(INDEX('Data Sheet'!$B$17:$O$31, MATCH($C18, 'Data Sheet'!$A$17:$A$31, 0), MATCH(E$3, 'Data Sheet'!$B$16:$O$16, 0)), 0)</f>
        <v>0</v>
      </c>
      <c r="F18" s="21">
        <f>IFERROR(INDEX('Data Sheet'!$B$17:$O$31, MATCH($C18, 'Data Sheet'!$A$17:$A$31, 0), MATCH(F$3, 'Data Sheet'!$B$16:$O$16, 0)), 0)</f>
        <v>4.1500000000000004</v>
      </c>
      <c r="G18" s="21">
        <f>IFERROR(INDEX('Data Sheet'!$B$17:$O$31, MATCH($C18, 'Data Sheet'!$A$17:$A$31, 0), MATCH(G$3, 'Data Sheet'!$B$16:$O$16, 0)), 0)</f>
        <v>4.8499999999999996</v>
      </c>
      <c r="H18" s="21">
        <f>IFERROR(INDEX('Data Sheet'!$B$17:$O$31, MATCH($C18, 'Data Sheet'!$A$17:$A$31, 0), MATCH(H$3, 'Data Sheet'!$B$16:$O$16, 0)), 0)</f>
        <v>7.83</v>
      </c>
      <c r="I18" s="21">
        <f>IFERROR(INDEX('Data Sheet'!$B$17:$O$31, MATCH($C18, 'Data Sheet'!$A$17:$A$31, 0), MATCH(I$3, 'Data Sheet'!$B$16:$O$16, 0)), 0)</f>
        <v>8.49</v>
      </c>
      <c r="J18" s="21">
        <f>IFERROR(INDEX('Data Sheet'!$B$17:$O$31, MATCH($C18, 'Data Sheet'!$A$17:$A$31, 0), MATCH(J$3, 'Data Sheet'!$B$16:$O$16, 0)), 0)</f>
        <v>10.1</v>
      </c>
      <c r="K18" s="21">
        <f>IFERROR(INDEX('Data Sheet'!$B$17:$O$31, MATCH($C18, 'Data Sheet'!$A$17:$A$31, 0), MATCH(K$3, 'Data Sheet'!$B$16:$O$16, 0)), 0)</f>
        <v>10.43</v>
      </c>
      <c r="L18" s="21">
        <f>IFERROR(INDEX('Data Sheet'!$B$17:$O$31, MATCH($C18, 'Data Sheet'!$A$17:$A$31, 0), MATCH(L$3, 'Data Sheet'!$B$16:$O$16, 0)), 0)</f>
        <v>13.15</v>
      </c>
      <c r="M18" s="21">
        <f>IFERROR(INDEX('Data Sheet'!$B$17:$O$31, MATCH($C18, 'Data Sheet'!$A$17:$A$31, 0), MATCH(M$3, 'Data Sheet'!$B$16:$O$16, 0)), 0)</f>
        <v>16.71</v>
      </c>
      <c r="N18" s="21">
        <f>IFERROR(INDEX('Data Sheet'!$B$17:$O$31, MATCH($C18, 'Data Sheet'!$A$17:$A$31, 0), MATCH(N$3, 'Data Sheet'!$B$16:$O$16, 0)), 0)</f>
        <v>34.200000000000003</v>
      </c>
      <c r="O18" s="21">
        <f>IFERROR(INDEX('Data Sheet'!$B$17:$O$31, MATCH($C18, 'Data Sheet'!$A$17:$A$31, 0), MATCH(O$3, 'Data Sheet'!$B$16:$O$16, 0)), 0)</f>
        <v>52.12</v>
      </c>
      <c r="P18" s="21">
        <f>IFERROR(INDEX('Data Sheet'!$B$17:$O$31, MATCH($C18, 'Data Sheet'!$A$17:$A$31, 0), MATCH(P$3, 'Data Sheet'!$B$16:$O$16, 0)), 0)</f>
        <v>0</v>
      </c>
      <c r="Q18" s="21">
        <f>IFERROR(INDEX('Data Sheet'!$B$17:$O$31, MATCH($C18, 'Data Sheet'!$A$17:$A$31, 0), MATCH(Q$3, 'Data Sheet'!$B$16:$O$16, 0)), 0)</f>
        <v>0</v>
      </c>
      <c r="R18" s="21">
        <f>IFERROR(INDEX('Data Sheet'!$B$17:$O$31, MATCH($C18, 'Data Sheet'!$A$17:$A$31, 0), MATCH(R$3, 'Data Sheet'!$B$16:$O$16, 0)), 0)</f>
        <v>0</v>
      </c>
      <c r="S18" s="21">
        <f>IFERROR(INDEX('Data Sheet'!$B$17:$O$31, MATCH($C18, 'Data Sheet'!$A$17:$A$31, 0), MATCH(S$3, 'Data Sheet'!$B$16:$O$16, 0)), 0)</f>
        <v>0</v>
      </c>
      <c r="T18" s="21">
        <f>IFERROR(INDEX('Data Sheet'!$B$17:$O$31, MATCH($C18, 'Data Sheet'!$A$17:$A$31, 0), MATCH(T$3, 'Data Sheet'!$B$16:$O$16, 0)), 0)</f>
        <v>0</v>
      </c>
    </row>
    <row r="19" spans="2:20" x14ac:dyDescent="0.3">
      <c r="C19" t="s">
        <v>11</v>
      </c>
      <c r="D19" s="21">
        <f>IFERROR(INDEX('Data Sheet'!$B$17:$O$31, MATCH($C19, 'Data Sheet'!$A$17:$A$31, 0), MATCH(D$3, 'Data Sheet'!$B$16:$O$16, 0)), 0)</f>
        <v>0</v>
      </c>
      <c r="E19" s="21">
        <f>IFERROR(INDEX('Data Sheet'!$B$17:$O$31, MATCH($C19, 'Data Sheet'!$A$17:$A$31, 0), MATCH(E$3, 'Data Sheet'!$B$16:$O$16, 0)), 0)</f>
        <v>0</v>
      </c>
      <c r="F19" s="21">
        <f>IFERROR(INDEX('Data Sheet'!$B$17:$O$31, MATCH($C19, 'Data Sheet'!$A$17:$A$31, 0), MATCH(F$3, 'Data Sheet'!$B$16:$O$16, 0)), 0)</f>
        <v>5.73</v>
      </c>
      <c r="G19" s="21">
        <f>IFERROR(INDEX('Data Sheet'!$B$17:$O$31, MATCH($C19, 'Data Sheet'!$A$17:$A$31, 0), MATCH(G$3, 'Data Sheet'!$B$16:$O$16, 0)), 0)</f>
        <v>7.36</v>
      </c>
      <c r="H19" s="21">
        <f>IFERROR(INDEX('Data Sheet'!$B$17:$O$31, MATCH($C19, 'Data Sheet'!$A$17:$A$31, 0), MATCH(H$3, 'Data Sheet'!$B$16:$O$16, 0)), 0)</f>
        <v>8.2799999999999994</v>
      </c>
      <c r="I19" s="21">
        <f>IFERROR(INDEX('Data Sheet'!$B$17:$O$31, MATCH($C19, 'Data Sheet'!$A$17:$A$31, 0), MATCH(I$3, 'Data Sheet'!$B$16:$O$16, 0)), 0)</f>
        <v>7.95</v>
      </c>
      <c r="J19" s="21">
        <f>IFERROR(INDEX('Data Sheet'!$B$17:$O$31, MATCH($C19, 'Data Sheet'!$A$17:$A$31, 0), MATCH(J$3, 'Data Sheet'!$B$16:$O$16, 0)), 0)</f>
        <v>7.09</v>
      </c>
      <c r="K19" s="21">
        <f>IFERROR(INDEX('Data Sheet'!$B$17:$O$31, MATCH($C19, 'Data Sheet'!$A$17:$A$31, 0), MATCH(K$3, 'Data Sheet'!$B$16:$O$16, 0)), 0)</f>
        <v>8.32</v>
      </c>
      <c r="L19" s="21">
        <f>IFERROR(INDEX('Data Sheet'!$B$17:$O$31, MATCH($C19, 'Data Sheet'!$A$17:$A$31, 0), MATCH(L$3, 'Data Sheet'!$B$16:$O$16, 0)), 0)</f>
        <v>8.77</v>
      </c>
      <c r="M19" s="21">
        <f>IFERROR(INDEX('Data Sheet'!$B$17:$O$31, MATCH($C19, 'Data Sheet'!$A$17:$A$31, 0), MATCH(M$3, 'Data Sheet'!$B$16:$O$16, 0)), 0)</f>
        <v>11.06</v>
      </c>
      <c r="N19" s="21">
        <f>IFERROR(INDEX('Data Sheet'!$B$17:$O$31, MATCH($C19, 'Data Sheet'!$A$17:$A$31, 0), MATCH(N$3, 'Data Sheet'!$B$16:$O$16, 0)), 0)</f>
        <v>8.52</v>
      </c>
      <c r="O19" s="21">
        <f>IFERROR(INDEX('Data Sheet'!$B$17:$O$31, MATCH($C19, 'Data Sheet'!$A$17:$A$31, 0), MATCH(O$3, 'Data Sheet'!$B$16:$O$16, 0)), 0)</f>
        <v>11.72</v>
      </c>
      <c r="P19" s="21">
        <f>IFERROR(INDEX('Data Sheet'!$B$17:$O$31, MATCH($C19, 'Data Sheet'!$A$17:$A$31, 0), MATCH(P$3, 'Data Sheet'!$B$16:$O$16, 0)), 0)</f>
        <v>0</v>
      </c>
      <c r="Q19" s="21">
        <f>IFERROR(INDEX('Data Sheet'!$B$17:$O$31, MATCH($C19, 'Data Sheet'!$A$17:$A$31, 0), MATCH(Q$3, 'Data Sheet'!$B$16:$O$16, 0)), 0)</f>
        <v>0</v>
      </c>
      <c r="R19" s="21">
        <f>IFERROR(INDEX('Data Sheet'!$B$17:$O$31, MATCH($C19, 'Data Sheet'!$A$17:$A$31, 0), MATCH(R$3, 'Data Sheet'!$B$16:$O$16, 0)), 0)</f>
        <v>0</v>
      </c>
      <c r="S19" s="21">
        <f>IFERROR(INDEX('Data Sheet'!$B$17:$O$31, MATCH($C19, 'Data Sheet'!$A$17:$A$31, 0), MATCH(S$3, 'Data Sheet'!$B$16:$O$16, 0)), 0)</f>
        <v>0</v>
      </c>
      <c r="T19" s="21">
        <f>IFERROR(INDEX('Data Sheet'!$B$17:$O$31, MATCH($C19, 'Data Sheet'!$A$17:$A$31, 0), MATCH(T$3, 'Data Sheet'!$B$16:$O$16, 0)), 0)</f>
        <v>0</v>
      </c>
    </row>
    <row r="20" spans="2:20" x14ac:dyDescent="0.3">
      <c r="C20" t="s">
        <v>12</v>
      </c>
      <c r="D20" s="21">
        <f>IFERROR(INDEX('Data Sheet'!$B$17:$O$31, MATCH($C20, 'Data Sheet'!$A$17:$A$31, 0), MATCH(D$3, 'Data Sheet'!$B$16:$O$16, 0)), 0)</f>
        <v>0</v>
      </c>
      <c r="E20" s="21">
        <f>IFERROR(INDEX('Data Sheet'!$B$17:$O$31, MATCH($C20, 'Data Sheet'!$A$17:$A$31, 0), MATCH(E$3, 'Data Sheet'!$B$16:$O$16, 0)), 0)</f>
        <v>0</v>
      </c>
      <c r="F20" s="21">
        <f>IFERROR(INDEX('Data Sheet'!$B$17:$O$31, MATCH($C20, 'Data Sheet'!$A$17:$A$31, 0), MATCH(F$3, 'Data Sheet'!$B$16:$O$16, 0)), 0)</f>
        <v>0.22</v>
      </c>
      <c r="G20" s="21">
        <f>IFERROR(INDEX('Data Sheet'!$B$17:$O$31, MATCH($C20, 'Data Sheet'!$A$17:$A$31, 0), MATCH(G$3, 'Data Sheet'!$B$16:$O$16, 0)), 0)</f>
        <v>0.35</v>
      </c>
      <c r="H20" s="21">
        <f>IFERROR(INDEX('Data Sheet'!$B$17:$O$31, MATCH($C20, 'Data Sheet'!$A$17:$A$31, 0), MATCH(H$3, 'Data Sheet'!$B$16:$O$16, 0)), 0)</f>
        <v>0.89</v>
      </c>
      <c r="I20" s="21">
        <f>IFERROR(INDEX('Data Sheet'!$B$17:$O$31, MATCH($C20, 'Data Sheet'!$A$17:$A$31, 0), MATCH(I$3, 'Data Sheet'!$B$16:$O$16, 0)), 0)</f>
        <v>0.19</v>
      </c>
      <c r="J20" s="21">
        <f>IFERROR(INDEX('Data Sheet'!$B$17:$O$31, MATCH($C20, 'Data Sheet'!$A$17:$A$31, 0), MATCH(J$3, 'Data Sheet'!$B$16:$O$16, 0)), 0)</f>
        <v>0.43</v>
      </c>
      <c r="K20" s="21">
        <f>IFERROR(INDEX('Data Sheet'!$B$17:$O$31, MATCH($C20, 'Data Sheet'!$A$17:$A$31, 0), MATCH(K$3, 'Data Sheet'!$B$16:$O$16, 0)), 0)</f>
        <v>0.38</v>
      </c>
      <c r="L20" s="21">
        <f>IFERROR(INDEX('Data Sheet'!$B$17:$O$31, MATCH($C20, 'Data Sheet'!$A$17:$A$31, 0), MATCH(L$3, 'Data Sheet'!$B$16:$O$16, 0)), 0)</f>
        <v>0.51</v>
      </c>
      <c r="M20" s="21">
        <f>IFERROR(INDEX('Data Sheet'!$B$17:$O$31, MATCH($C20, 'Data Sheet'!$A$17:$A$31, 0), MATCH(M$3, 'Data Sheet'!$B$16:$O$16, 0)), 0)</f>
        <v>0.96</v>
      </c>
      <c r="N20" s="21">
        <f>IFERROR(INDEX('Data Sheet'!$B$17:$O$31, MATCH($C20, 'Data Sheet'!$A$17:$A$31, 0), MATCH(N$3, 'Data Sheet'!$B$16:$O$16, 0)), 0)</f>
        <v>3.08</v>
      </c>
      <c r="O20" s="21">
        <f>IFERROR(INDEX('Data Sheet'!$B$17:$O$31, MATCH($C20, 'Data Sheet'!$A$17:$A$31, 0), MATCH(O$3, 'Data Sheet'!$B$16:$O$16, 0)), 0)</f>
        <v>3.06</v>
      </c>
      <c r="P20" s="21">
        <f>IFERROR(INDEX('Data Sheet'!$B$17:$O$31, MATCH($C20, 'Data Sheet'!$A$17:$A$31, 0), MATCH(P$3, 'Data Sheet'!$B$16:$O$16, 0)), 0)</f>
        <v>0</v>
      </c>
      <c r="Q20" s="21">
        <f>IFERROR(INDEX('Data Sheet'!$B$17:$O$31, MATCH($C20, 'Data Sheet'!$A$17:$A$31, 0), MATCH(Q$3, 'Data Sheet'!$B$16:$O$16, 0)), 0)</f>
        <v>0</v>
      </c>
      <c r="R20" s="21">
        <f>IFERROR(INDEX('Data Sheet'!$B$17:$O$31, MATCH($C20, 'Data Sheet'!$A$17:$A$31, 0), MATCH(R$3, 'Data Sheet'!$B$16:$O$16, 0)), 0)</f>
        <v>0</v>
      </c>
      <c r="S20" s="21">
        <f>IFERROR(INDEX('Data Sheet'!$B$17:$O$31, MATCH($C20, 'Data Sheet'!$A$17:$A$31, 0), MATCH(S$3, 'Data Sheet'!$B$16:$O$16, 0)), 0)</f>
        <v>0</v>
      </c>
      <c r="T20" s="21">
        <f>IFERROR(INDEX('Data Sheet'!$B$17:$O$31, MATCH($C20, 'Data Sheet'!$A$17:$A$31, 0), MATCH(T$3, 'Data Sheet'!$B$16:$O$16, 0)), 0)</f>
        <v>0</v>
      </c>
    </row>
    <row r="21" spans="2:20" x14ac:dyDescent="0.3"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2:20" x14ac:dyDescent="0.3">
      <c r="C22" t="s">
        <v>14</v>
      </c>
      <c r="D22" s="21">
        <f>D14-D15+SUM(D16:D20)</f>
        <v>0</v>
      </c>
      <c r="E22" s="21">
        <f t="shared" ref="E22:N22" si="2">E14-E15+SUM(E16:E20)</f>
        <v>0</v>
      </c>
      <c r="F22" s="21">
        <f t="shared" si="2"/>
        <v>20.700000000000003</v>
      </c>
      <c r="G22" s="21">
        <f t="shared" si="2"/>
        <v>29.72</v>
      </c>
      <c r="H22" s="21">
        <f t="shared" si="2"/>
        <v>40.44</v>
      </c>
      <c r="I22" s="21">
        <f t="shared" si="2"/>
        <v>36.29</v>
      </c>
      <c r="J22" s="21">
        <f t="shared" si="2"/>
        <v>36.549999999999997</v>
      </c>
      <c r="K22" s="21">
        <f t="shared" si="2"/>
        <v>55.519999999999996</v>
      </c>
      <c r="L22" s="21">
        <f t="shared" si="2"/>
        <v>77.19</v>
      </c>
      <c r="M22" s="21">
        <f t="shared" si="2"/>
        <v>104.78</v>
      </c>
      <c r="N22" s="21">
        <f t="shared" si="2"/>
        <v>139.51999999999998</v>
      </c>
      <c r="O22" s="21">
        <f>O14-O15+SUM(O16:O20)</f>
        <v>153.09</v>
      </c>
      <c r="P22" s="21">
        <f t="shared" ref="P22:T22" si="3">P14-P15+SUM(P16:P20)</f>
        <v>0</v>
      </c>
      <c r="Q22" s="21">
        <f t="shared" si="3"/>
        <v>0</v>
      </c>
      <c r="R22" s="21">
        <f t="shared" si="3"/>
        <v>0</v>
      </c>
      <c r="S22" s="21">
        <f t="shared" si="3"/>
        <v>0</v>
      </c>
      <c r="T22" s="21">
        <f t="shared" si="3"/>
        <v>0</v>
      </c>
    </row>
    <row r="23" spans="2:20" x14ac:dyDescent="0.3"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2:20" x14ac:dyDescent="0.3">
      <c r="B24" s="3" t="s">
        <v>17</v>
      </c>
      <c r="C24" s="19" t="s">
        <v>15</v>
      </c>
      <c r="D24" s="21">
        <f>D6-D22</f>
        <v>0</v>
      </c>
      <c r="E24" s="21">
        <f t="shared" ref="E24:N24" si="4">E6-E22</f>
        <v>0</v>
      </c>
      <c r="F24" s="21">
        <f t="shared" si="4"/>
        <v>3.9299999999999962</v>
      </c>
      <c r="G24" s="21">
        <f t="shared" si="4"/>
        <v>3.8599999999999994</v>
      </c>
      <c r="H24" s="21">
        <f t="shared" si="4"/>
        <v>11.260000000000005</v>
      </c>
      <c r="I24" s="21">
        <f t="shared" si="4"/>
        <v>14.219999999999999</v>
      </c>
      <c r="J24" s="21">
        <f t="shared" si="4"/>
        <v>15.370000000000005</v>
      </c>
      <c r="K24" s="21">
        <f t="shared" si="4"/>
        <v>22.17</v>
      </c>
      <c r="L24" s="21">
        <f t="shared" si="4"/>
        <v>27.75</v>
      </c>
      <c r="M24" s="21">
        <f t="shared" si="4"/>
        <v>49.47999999999999</v>
      </c>
      <c r="N24" s="21">
        <f t="shared" si="4"/>
        <v>84.4</v>
      </c>
      <c r="O24" s="21">
        <f>O6-O22</f>
        <v>95.389999999999986</v>
      </c>
      <c r="P24" s="21">
        <f t="shared" ref="P24:T24" si="5">P9-P22</f>
        <v>0</v>
      </c>
      <c r="Q24" s="21">
        <f t="shared" si="5"/>
        <v>0</v>
      </c>
      <c r="R24" s="21">
        <f t="shared" si="5"/>
        <v>0</v>
      </c>
      <c r="S24" s="21">
        <f t="shared" si="5"/>
        <v>0</v>
      </c>
      <c r="T24" s="21">
        <f t="shared" si="5"/>
        <v>0</v>
      </c>
    </row>
    <row r="25" spans="2:20" x14ac:dyDescent="0.3">
      <c r="C25" t="s">
        <v>16</v>
      </c>
      <c r="D25" s="20">
        <f>IFERROR(D$24/D$6,0)</f>
        <v>0</v>
      </c>
      <c r="E25" s="20">
        <f t="shared" ref="E25:T25" si="6">IFERROR(E$24/E$6,0)</f>
        <v>0</v>
      </c>
      <c r="F25" s="20">
        <f t="shared" si="6"/>
        <v>0.15956151035322763</v>
      </c>
      <c r="G25" s="20">
        <f t="shared" si="6"/>
        <v>0.11494937462775461</v>
      </c>
      <c r="H25" s="20">
        <f t="shared" si="6"/>
        <v>0.21779497098646045</v>
      </c>
      <c r="I25" s="20">
        <f t="shared" si="6"/>
        <v>0.28152841021579883</v>
      </c>
      <c r="J25" s="20">
        <f t="shared" si="6"/>
        <v>0.29603235747303552</v>
      </c>
      <c r="K25" s="20">
        <f t="shared" si="6"/>
        <v>0.28536491182906426</v>
      </c>
      <c r="L25" s="20">
        <f t="shared" si="6"/>
        <v>0.26443682104059463</v>
      </c>
      <c r="M25" s="20">
        <f t="shared" si="6"/>
        <v>0.3207571632309088</v>
      </c>
      <c r="N25" s="20">
        <f t="shared" si="6"/>
        <v>0.37692032868881747</v>
      </c>
      <c r="O25" s="20">
        <f t="shared" si="6"/>
        <v>0.38389407598197034</v>
      </c>
      <c r="P25" s="20">
        <f t="shared" si="6"/>
        <v>0</v>
      </c>
      <c r="Q25" s="20">
        <f t="shared" si="6"/>
        <v>0</v>
      </c>
      <c r="R25" s="20">
        <f t="shared" si="6"/>
        <v>0</v>
      </c>
      <c r="S25" s="20">
        <f t="shared" si="6"/>
        <v>0</v>
      </c>
      <c r="T25" s="20">
        <f t="shared" si="6"/>
        <v>0</v>
      </c>
    </row>
    <row r="26" spans="2:20" x14ac:dyDescent="0.3"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2:20" x14ac:dyDescent="0.3">
      <c r="B27" s="3" t="s">
        <v>18</v>
      </c>
      <c r="C27" s="19" t="s">
        <v>19</v>
      </c>
    </row>
    <row r="28" spans="2:20" x14ac:dyDescent="0.3">
      <c r="C28" t="s">
        <v>20</v>
      </c>
      <c r="D28" s="21">
        <f>IFERROR(INDEX('Data Sheet'!$B$17:$O$31, MATCH($C28, 'Data Sheet'!$A$17:$A$31, 0), MATCH(D$3, 'Data Sheet'!$B$16:$O$16, 0)), 0)</f>
        <v>0</v>
      </c>
      <c r="E28" s="21">
        <f>IFERROR(INDEX('Data Sheet'!$B$17:$O$31, MATCH($C28, 'Data Sheet'!$A$17:$A$31, 0), MATCH(E$3, 'Data Sheet'!$B$16:$O$16, 0)), 0)</f>
        <v>0</v>
      </c>
      <c r="F28" s="21">
        <f>IFERROR(INDEX('Data Sheet'!$B$17:$O$31, MATCH($C28, 'Data Sheet'!$A$17:$A$31, 0), MATCH(F$3, 'Data Sheet'!$B$16:$O$16, 0)), 0)</f>
        <v>1.74</v>
      </c>
      <c r="G28" s="21">
        <f>IFERROR(INDEX('Data Sheet'!$B$17:$O$31, MATCH($C28, 'Data Sheet'!$A$17:$A$31, 0), MATCH(G$3, 'Data Sheet'!$B$16:$O$16, 0)), 0)</f>
        <v>1.79</v>
      </c>
      <c r="H28" s="21">
        <f>IFERROR(INDEX('Data Sheet'!$B$17:$O$31, MATCH($C28, 'Data Sheet'!$A$17:$A$31, 0), MATCH(H$3, 'Data Sheet'!$B$16:$O$16, 0)), 0)</f>
        <v>1.64</v>
      </c>
      <c r="I28" s="21">
        <f>IFERROR(INDEX('Data Sheet'!$B$17:$O$31, MATCH($C28, 'Data Sheet'!$A$17:$A$31, 0), MATCH(I$3, 'Data Sheet'!$B$16:$O$16, 0)), 0)</f>
        <v>2.0499999999999998</v>
      </c>
      <c r="J28" s="21">
        <f>IFERROR(INDEX('Data Sheet'!$B$17:$O$31, MATCH($C28, 'Data Sheet'!$A$17:$A$31, 0), MATCH(J$3, 'Data Sheet'!$B$16:$O$16, 0)), 0)</f>
        <v>2.71</v>
      </c>
      <c r="K28" s="21">
        <f>IFERROR(INDEX('Data Sheet'!$B$17:$O$31, MATCH($C28, 'Data Sheet'!$A$17:$A$31, 0), MATCH(K$3, 'Data Sheet'!$B$16:$O$16, 0)), 0)</f>
        <v>3.03</v>
      </c>
      <c r="L28" s="21">
        <f>IFERROR(INDEX('Data Sheet'!$B$17:$O$31, MATCH($C28, 'Data Sheet'!$A$17:$A$31, 0), MATCH(L$3, 'Data Sheet'!$B$16:$O$16, 0)), 0)</f>
        <v>3.97</v>
      </c>
      <c r="M28" s="21">
        <f>IFERROR(INDEX('Data Sheet'!$B$17:$O$31, MATCH($C28, 'Data Sheet'!$A$17:$A$31, 0), MATCH(M$3, 'Data Sheet'!$B$16:$O$16, 0)), 0)</f>
        <v>5.16</v>
      </c>
      <c r="N28" s="21">
        <f>IFERROR(INDEX('Data Sheet'!$B$17:$O$31, MATCH($C28, 'Data Sheet'!$A$17:$A$31, 0), MATCH(N$3, 'Data Sheet'!$B$16:$O$16, 0)), 0)</f>
        <v>7.06</v>
      </c>
      <c r="O28" s="21">
        <f>IFERROR(INDEX('Data Sheet'!$B$17:$O$31, MATCH($C28, 'Data Sheet'!$A$17:$A$31, 0), MATCH(O$3, 'Data Sheet'!$B$16:$O$16, 0)), 0)</f>
        <v>11.39</v>
      </c>
      <c r="P28" s="21">
        <f>IFERROR(INDEX('Data Sheet'!$B$17:$O$31, MATCH($C28, 'Data Sheet'!$A$17:$A$31, 0), MATCH(P$3, 'Data Sheet'!$B$16:$O$16, 0)), 0)</f>
        <v>0</v>
      </c>
      <c r="Q28" s="21">
        <f>IFERROR(INDEX('Data Sheet'!$B$17:$O$31, MATCH($C28, 'Data Sheet'!$A$17:$A$31, 0), MATCH(Q$3, 'Data Sheet'!$B$16:$O$16, 0)), 0)</f>
        <v>0</v>
      </c>
      <c r="R28" s="21">
        <f>IFERROR(INDEX('Data Sheet'!$B$17:$O$31, MATCH($C28, 'Data Sheet'!$A$17:$A$31, 0), MATCH(R$3, 'Data Sheet'!$B$16:$O$16, 0)), 0)</f>
        <v>0</v>
      </c>
      <c r="S28" s="21">
        <f>IFERROR(INDEX('Data Sheet'!$B$17:$O$31, MATCH($C28, 'Data Sheet'!$A$17:$A$31, 0), MATCH(S$3, 'Data Sheet'!$B$16:$O$16, 0)), 0)</f>
        <v>0</v>
      </c>
      <c r="T28" s="21">
        <f>IFERROR(INDEX('Data Sheet'!$B$17:$O$31, MATCH($C28, 'Data Sheet'!$A$17:$A$31, 0), MATCH(T$3, 'Data Sheet'!$B$16:$O$16, 0)), 0)</f>
        <v>0</v>
      </c>
    </row>
    <row r="29" spans="2:20" x14ac:dyDescent="0.3">
      <c r="C29" t="s">
        <v>21</v>
      </c>
      <c r="D29" s="21">
        <f>IFERROR(INDEX('Data Sheet'!$B$17:$O$31, MATCH($C29, 'Data Sheet'!$A$17:$A$31, 0), MATCH(D$3, 'Data Sheet'!$B$16:$O$16, 0)), 0)</f>
        <v>0</v>
      </c>
      <c r="E29" s="21">
        <f>IFERROR(INDEX('Data Sheet'!$B$17:$O$31, MATCH($C29, 'Data Sheet'!$A$17:$A$31, 0), MATCH(E$3, 'Data Sheet'!$B$16:$O$16, 0)), 0)</f>
        <v>0</v>
      </c>
      <c r="F29" s="21">
        <f>IFERROR(INDEX('Data Sheet'!$B$17:$O$31, MATCH($C29, 'Data Sheet'!$A$17:$A$31, 0), MATCH(F$3, 'Data Sheet'!$B$16:$O$16, 0)), 0)</f>
        <v>1.94</v>
      </c>
      <c r="G29" s="21">
        <f>IFERROR(INDEX('Data Sheet'!$B$17:$O$31, MATCH($C29, 'Data Sheet'!$A$17:$A$31, 0), MATCH(G$3, 'Data Sheet'!$B$16:$O$16, 0)), 0)</f>
        <v>1.52</v>
      </c>
      <c r="H29" s="21">
        <f>IFERROR(INDEX('Data Sheet'!$B$17:$O$31, MATCH($C29, 'Data Sheet'!$A$17:$A$31, 0), MATCH(H$3, 'Data Sheet'!$B$16:$O$16, 0)), 0)</f>
        <v>0.87</v>
      </c>
      <c r="I29" s="21">
        <f>IFERROR(INDEX('Data Sheet'!$B$17:$O$31, MATCH($C29, 'Data Sheet'!$A$17:$A$31, 0), MATCH(I$3, 'Data Sheet'!$B$16:$O$16, 0)), 0)</f>
        <v>0.57999999999999996</v>
      </c>
      <c r="J29" s="21">
        <f>IFERROR(INDEX('Data Sheet'!$B$17:$O$31, MATCH($C29, 'Data Sheet'!$A$17:$A$31, 0), MATCH(J$3, 'Data Sheet'!$B$16:$O$16, 0)), 0)</f>
        <v>0.85</v>
      </c>
      <c r="K29" s="21">
        <f>IFERROR(INDEX('Data Sheet'!$B$17:$O$31, MATCH($C29, 'Data Sheet'!$A$17:$A$31, 0), MATCH(K$3, 'Data Sheet'!$B$16:$O$16, 0)), 0)</f>
        <v>1.51</v>
      </c>
      <c r="L29" s="21">
        <f>IFERROR(INDEX('Data Sheet'!$B$17:$O$31, MATCH($C29, 'Data Sheet'!$A$17:$A$31, 0), MATCH(L$3, 'Data Sheet'!$B$16:$O$16, 0)), 0)</f>
        <v>1.51</v>
      </c>
      <c r="M29" s="21">
        <f>IFERROR(INDEX('Data Sheet'!$B$17:$O$31, MATCH($C29, 'Data Sheet'!$A$17:$A$31, 0), MATCH(M$3, 'Data Sheet'!$B$16:$O$16, 0)), 0)</f>
        <v>4.8600000000000003</v>
      </c>
      <c r="N29" s="21">
        <f>IFERROR(INDEX('Data Sheet'!$B$17:$O$31, MATCH($C29, 'Data Sheet'!$A$17:$A$31, 0), MATCH(N$3, 'Data Sheet'!$B$16:$O$16, 0)), 0)</f>
        <v>4.17</v>
      </c>
      <c r="O29" s="21">
        <f>IFERROR(INDEX('Data Sheet'!$B$17:$O$31, MATCH($C29, 'Data Sheet'!$A$17:$A$31, 0), MATCH(O$3, 'Data Sheet'!$B$16:$O$16, 0)), 0)</f>
        <v>3.04</v>
      </c>
      <c r="P29" s="21">
        <f>IFERROR(INDEX('Data Sheet'!$B$17:$O$31, MATCH($C29, 'Data Sheet'!$A$17:$A$31, 0), MATCH(P$3, 'Data Sheet'!$B$16:$O$16, 0)), 0)</f>
        <v>0</v>
      </c>
      <c r="Q29" s="21">
        <f>IFERROR(INDEX('Data Sheet'!$B$17:$O$31, MATCH($C29, 'Data Sheet'!$A$17:$A$31, 0), MATCH(Q$3, 'Data Sheet'!$B$16:$O$16, 0)), 0)</f>
        <v>0</v>
      </c>
      <c r="R29" s="21">
        <f>IFERROR(INDEX('Data Sheet'!$B$17:$O$31, MATCH($C29, 'Data Sheet'!$A$17:$A$31, 0), MATCH(R$3, 'Data Sheet'!$B$16:$O$16, 0)), 0)</f>
        <v>0</v>
      </c>
      <c r="S29" s="21">
        <f>IFERROR(INDEX('Data Sheet'!$B$17:$O$31, MATCH($C29, 'Data Sheet'!$A$17:$A$31, 0), MATCH(S$3, 'Data Sheet'!$B$16:$O$16, 0)), 0)</f>
        <v>0</v>
      </c>
      <c r="T29" s="21">
        <f>IFERROR(INDEX('Data Sheet'!$B$17:$O$31, MATCH($C29, 'Data Sheet'!$A$17:$A$31, 0), MATCH(T$3, 'Data Sheet'!$B$16:$O$16, 0)), 0)</f>
        <v>0</v>
      </c>
    </row>
    <row r="30" spans="2:20" x14ac:dyDescent="0.3"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</row>
    <row r="31" spans="2:20" x14ac:dyDescent="0.3">
      <c r="C31" t="s">
        <v>22</v>
      </c>
      <c r="D31" s="21">
        <f>D28+D29</f>
        <v>0</v>
      </c>
      <c r="E31" s="21">
        <f t="shared" ref="E31:T31" si="7">E28+E29</f>
        <v>0</v>
      </c>
      <c r="F31" s="21">
        <f t="shared" si="7"/>
        <v>3.6799999999999997</v>
      </c>
      <c r="G31" s="21">
        <f t="shared" si="7"/>
        <v>3.31</v>
      </c>
      <c r="H31" s="21">
        <f t="shared" si="7"/>
        <v>2.5099999999999998</v>
      </c>
      <c r="I31" s="21">
        <f t="shared" si="7"/>
        <v>2.63</v>
      </c>
      <c r="J31" s="21">
        <f t="shared" si="7"/>
        <v>3.56</v>
      </c>
      <c r="K31" s="21">
        <f t="shared" si="7"/>
        <v>4.54</v>
      </c>
      <c r="L31" s="21">
        <f t="shared" si="7"/>
        <v>5.48</v>
      </c>
      <c r="M31" s="21">
        <f t="shared" si="7"/>
        <v>10.02</v>
      </c>
      <c r="N31" s="21">
        <f t="shared" si="7"/>
        <v>11.23</v>
      </c>
      <c r="O31" s="21">
        <f t="shared" si="7"/>
        <v>14.43</v>
      </c>
      <c r="P31" s="21">
        <f t="shared" si="7"/>
        <v>0</v>
      </c>
      <c r="Q31" s="21">
        <f t="shared" si="7"/>
        <v>0</v>
      </c>
      <c r="R31" s="21">
        <f t="shared" si="7"/>
        <v>0</v>
      </c>
      <c r="S31" s="21">
        <f t="shared" si="7"/>
        <v>0</v>
      </c>
      <c r="T31" s="21">
        <f t="shared" si="7"/>
        <v>0</v>
      </c>
    </row>
    <row r="32" spans="2:20" x14ac:dyDescent="0.3"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</row>
    <row r="33" spans="2:20" x14ac:dyDescent="0.3">
      <c r="B33" s="3" t="s">
        <v>24</v>
      </c>
      <c r="C33" s="19" t="s">
        <v>23</v>
      </c>
      <c r="D33" s="21">
        <f>D9-D22-D31</f>
        <v>0</v>
      </c>
      <c r="E33" s="21">
        <f t="shared" ref="E33:T33" si="8">E9-E22-E31</f>
        <v>0</v>
      </c>
      <c r="F33" s="21">
        <f t="shared" si="8"/>
        <v>0.64999999999999503</v>
      </c>
      <c r="G33" s="21">
        <f t="shared" si="8"/>
        <v>1.0599999999999974</v>
      </c>
      <c r="H33" s="21">
        <f t="shared" si="8"/>
        <v>24.190000000000005</v>
      </c>
      <c r="I33" s="21">
        <f t="shared" si="8"/>
        <v>12.499999999999996</v>
      </c>
      <c r="J33" s="21">
        <f t="shared" si="8"/>
        <v>13.010000000000007</v>
      </c>
      <c r="K33" s="21">
        <f t="shared" si="8"/>
        <v>18.500000000000007</v>
      </c>
      <c r="L33" s="21">
        <f t="shared" si="8"/>
        <v>23.640000000000004</v>
      </c>
      <c r="M33" s="21">
        <f t="shared" si="8"/>
        <v>39.929999999999993</v>
      </c>
      <c r="N33" s="21">
        <f t="shared" si="8"/>
        <v>74.470000000000013</v>
      </c>
      <c r="O33" s="21">
        <f t="shared" si="8"/>
        <v>82.71999999999997</v>
      </c>
      <c r="P33" s="21">
        <f t="shared" si="8"/>
        <v>0</v>
      </c>
      <c r="Q33" s="21">
        <f t="shared" si="8"/>
        <v>0</v>
      </c>
      <c r="R33" s="21">
        <f t="shared" si="8"/>
        <v>0</v>
      </c>
      <c r="S33" s="21">
        <f t="shared" si="8"/>
        <v>0</v>
      </c>
      <c r="T33" s="21">
        <f t="shared" si="8"/>
        <v>0</v>
      </c>
    </row>
    <row r="34" spans="2:20" x14ac:dyDescent="0.3"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</row>
    <row r="35" spans="2:20" x14ac:dyDescent="0.3">
      <c r="B35" s="3" t="s">
        <v>25</v>
      </c>
      <c r="C35" s="3" t="s">
        <v>26</v>
      </c>
      <c r="D35" s="21">
        <f>IFERROR(INDEX('Data Sheet'!$B$17:$O$31, MATCH($C35, 'Data Sheet'!$A$17:$A$31, 0), MATCH(D$3, 'Data Sheet'!$B$16:$O$16, 0)), 0)</f>
        <v>0</v>
      </c>
      <c r="E35" s="21">
        <f>IFERROR(INDEX('Data Sheet'!$B$17:$O$31, MATCH($C35, 'Data Sheet'!$A$17:$A$31, 0), MATCH(E$3, 'Data Sheet'!$B$16:$O$16, 0)), 0)</f>
        <v>0</v>
      </c>
      <c r="F35" s="21">
        <f>IFERROR(INDEX('Data Sheet'!$B$17:$O$31, MATCH($C35, 'Data Sheet'!$A$17:$A$31, 0), MATCH(F$3, 'Data Sheet'!$B$16:$O$16, 0)), 0)</f>
        <v>0.06</v>
      </c>
      <c r="G35" s="21">
        <f>IFERROR(INDEX('Data Sheet'!$B$17:$O$31, MATCH($C35, 'Data Sheet'!$A$17:$A$31, 0), MATCH(G$3, 'Data Sheet'!$B$16:$O$16, 0)), 0)</f>
        <v>0.17</v>
      </c>
      <c r="H35" s="21">
        <f>IFERROR(INDEX('Data Sheet'!$B$17:$O$31, MATCH($C35, 'Data Sheet'!$A$17:$A$31, 0), MATCH(H$3, 'Data Sheet'!$B$16:$O$16, 0)), 0)</f>
        <v>6.88</v>
      </c>
      <c r="I35" s="21">
        <f>IFERROR(INDEX('Data Sheet'!$B$17:$O$31, MATCH($C35, 'Data Sheet'!$A$17:$A$31, 0), MATCH(I$3, 'Data Sheet'!$B$16:$O$16, 0)), 0)</f>
        <v>2.91</v>
      </c>
      <c r="J35" s="21">
        <f>IFERROR(INDEX('Data Sheet'!$B$17:$O$31, MATCH($C35, 'Data Sheet'!$A$17:$A$31, 0), MATCH(J$3, 'Data Sheet'!$B$16:$O$16, 0)), 0)</f>
        <v>2.2599999999999998</v>
      </c>
      <c r="K35" s="21">
        <f>IFERROR(INDEX('Data Sheet'!$B$17:$O$31, MATCH($C35, 'Data Sheet'!$A$17:$A$31, 0), MATCH(K$3, 'Data Sheet'!$B$16:$O$16, 0)), 0)</f>
        <v>3.17</v>
      </c>
      <c r="L35" s="21">
        <f>IFERROR(INDEX('Data Sheet'!$B$17:$O$31, MATCH($C35, 'Data Sheet'!$A$17:$A$31, 0), MATCH(L$3, 'Data Sheet'!$B$16:$O$16, 0)), 0)</f>
        <v>4.46</v>
      </c>
      <c r="M35" s="21">
        <f>IFERROR(INDEX('Data Sheet'!$B$17:$O$31, MATCH($C35, 'Data Sheet'!$A$17:$A$31, 0), MATCH(M$3, 'Data Sheet'!$B$16:$O$16, 0)), 0)</f>
        <v>9.9</v>
      </c>
      <c r="N35" s="21">
        <f>IFERROR(INDEX('Data Sheet'!$B$17:$O$31, MATCH($C35, 'Data Sheet'!$A$17:$A$31, 0), MATCH(N$3, 'Data Sheet'!$B$16:$O$16, 0)), 0)</f>
        <v>19.02</v>
      </c>
      <c r="O35" s="21">
        <f>IFERROR(INDEX('Data Sheet'!$B$17:$O$31, MATCH($C35, 'Data Sheet'!$A$17:$A$31, 0), MATCH(O$3, 'Data Sheet'!$B$16:$O$16, 0)), 0)</f>
        <v>22.8</v>
      </c>
      <c r="P35" s="21">
        <f>IFERROR(INDEX('Data Sheet'!$B$17:$O$31, MATCH($C35, 'Data Sheet'!$A$17:$A$31, 0), MATCH(P$3, 'Data Sheet'!$B$16:$O$16, 0)), 0)</f>
        <v>0</v>
      </c>
      <c r="Q35" s="21">
        <f>IFERROR(INDEX('Data Sheet'!$B$17:$O$31, MATCH($C35, 'Data Sheet'!$A$17:$A$31, 0), MATCH(Q$3, 'Data Sheet'!$B$16:$O$16, 0)), 0)</f>
        <v>0</v>
      </c>
      <c r="R35" s="21">
        <f>IFERROR(INDEX('Data Sheet'!$B$17:$O$31, MATCH($C35, 'Data Sheet'!$A$17:$A$31, 0), MATCH(R$3, 'Data Sheet'!$B$16:$O$16, 0)), 0)</f>
        <v>0</v>
      </c>
      <c r="S35" s="21">
        <f>IFERROR(INDEX('Data Sheet'!$B$17:$O$31, MATCH($C35, 'Data Sheet'!$A$17:$A$31, 0), MATCH(S$3, 'Data Sheet'!$B$16:$O$16, 0)), 0)</f>
        <v>0</v>
      </c>
      <c r="T35" s="21">
        <f>IFERROR(INDEX('Data Sheet'!$B$17:$O$31, MATCH($C35, 'Data Sheet'!$A$17:$A$31, 0), MATCH(T$3, 'Data Sheet'!$B$16:$O$16, 0)), 0)</f>
        <v>0</v>
      </c>
    </row>
    <row r="36" spans="2:20" x14ac:dyDescent="0.3"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</row>
    <row r="37" spans="2:20" x14ac:dyDescent="0.3">
      <c r="B37" s="3" t="s">
        <v>27</v>
      </c>
      <c r="C37" s="19" t="s">
        <v>28</v>
      </c>
      <c r="D37" s="21">
        <f>D33-D35</f>
        <v>0</v>
      </c>
      <c r="E37" s="21">
        <f t="shared" ref="E37:T37" si="9">E33-E35</f>
        <v>0</v>
      </c>
      <c r="F37" s="21">
        <f t="shared" si="9"/>
        <v>0.58999999999999497</v>
      </c>
      <c r="G37" s="21">
        <f t="shared" si="9"/>
        <v>0.88999999999999735</v>
      </c>
      <c r="H37" s="21">
        <f t="shared" si="9"/>
        <v>17.310000000000006</v>
      </c>
      <c r="I37" s="21">
        <f t="shared" si="9"/>
        <v>9.5899999999999963</v>
      </c>
      <c r="J37" s="21">
        <f t="shared" si="9"/>
        <v>10.750000000000007</v>
      </c>
      <c r="K37" s="21">
        <f t="shared" si="9"/>
        <v>15.330000000000007</v>
      </c>
      <c r="L37" s="21">
        <f t="shared" si="9"/>
        <v>19.180000000000003</v>
      </c>
      <c r="M37" s="21">
        <f t="shared" si="9"/>
        <v>30.029999999999994</v>
      </c>
      <c r="N37" s="21">
        <f t="shared" si="9"/>
        <v>55.450000000000017</v>
      </c>
      <c r="O37" s="21">
        <f t="shared" si="9"/>
        <v>59.919999999999973</v>
      </c>
      <c r="P37" s="21">
        <f t="shared" si="9"/>
        <v>0</v>
      </c>
      <c r="Q37" s="21">
        <f t="shared" si="9"/>
        <v>0</v>
      </c>
      <c r="R37" s="21">
        <f t="shared" si="9"/>
        <v>0</v>
      </c>
      <c r="S37" s="21">
        <f t="shared" si="9"/>
        <v>0</v>
      </c>
      <c r="T37" s="21">
        <f t="shared" si="9"/>
        <v>0</v>
      </c>
    </row>
    <row r="38" spans="2:20" x14ac:dyDescent="0.3">
      <c r="B38" s="3"/>
      <c r="C38" s="3" t="s">
        <v>32</v>
      </c>
      <c r="D38" s="20">
        <f>IFERROR((D$37/D$6),0)</f>
        <v>0</v>
      </c>
      <c r="E38" s="20">
        <f t="shared" ref="E38:T38" si="10">IFERROR((E$37/E$6),0)</f>
        <v>0</v>
      </c>
      <c r="F38" s="20">
        <f t="shared" si="10"/>
        <v>2.3954526999593787E-2</v>
      </c>
      <c r="G38" s="20">
        <f t="shared" si="10"/>
        <v>2.6503871351995157E-2</v>
      </c>
      <c r="H38" s="20">
        <f t="shared" si="10"/>
        <v>0.33481624758220513</v>
      </c>
      <c r="I38" s="20">
        <f t="shared" si="10"/>
        <v>0.18986339338744795</v>
      </c>
      <c r="J38" s="20">
        <f t="shared" si="10"/>
        <v>0.20704930662557794</v>
      </c>
      <c r="K38" s="20">
        <f t="shared" si="10"/>
        <v>0.19732269275325021</v>
      </c>
      <c r="L38" s="20">
        <f t="shared" si="10"/>
        <v>0.18277110729940921</v>
      </c>
      <c r="M38" s="20">
        <f t="shared" si="10"/>
        <v>0.19467133411124074</v>
      </c>
      <c r="N38" s="20">
        <f t="shared" si="10"/>
        <v>0.24763308324401581</v>
      </c>
      <c r="O38" s="20">
        <f t="shared" si="10"/>
        <v>0.24114616870573075</v>
      </c>
      <c r="P38" s="20">
        <f t="shared" si="10"/>
        <v>0</v>
      </c>
      <c r="Q38" s="20">
        <f t="shared" si="10"/>
        <v>0</v>
      </c>
      <c r="R38" s="20">
        <f t="shared" si="10"/>
        <v>0</v>
      </c>
      <c r="S38" s="20">
        <f t="shared" si="10"/>
        <v>0</v>
      </c>
      <c r="T38" s="20">
        <f t="shared" si="10"/>
        <v>0</v>
      </c>
    </row>
    <row r="39" spans="2:20" x14ac:dyDescent="0.3">
      <c r="B39" s="3"/>
      <c r="C39" s="3"/>
    </row>
    <row r="40" spans="2:20" x14ac:dyDescent="0.3">
      <c r="C40" s="19" t="s">
        <v>29</v>
      </c>
    </row>
    <row r="42" spans="2:20" x14ac:dyDescent="0.3">
      <c r="C42" t="s">
        <v>31</v>
      </c>
      <c r="E42" s="20">
        <f>IFERROR((E$6-D$6)/E$6,0)</f>
        <v>0</v>
      </c>
      <c r="F42" s="20">
        <f t="shared" ref="F42:R42" si="11">IFERROR((F$6-E$6)/F$6,0)</f>
        <v>1</v>
      </c>
      <c r="G42" s="20">
        <f t="shared" si="11"/>
        <v>0.2665276950565813</v>
      </c>
      <c r="H42" s="20">
        <f t="shared" si="11"/>
        <v>0.35048355899419736</v>
      </c>
      <c r="I42" s="20">
        <f t="shared" si="11"/>
        <v>-2.3559691150267372E-2</v>
      </c>
      <c r="J42" s="20">
        <f t="shared" si="11"/>
        <v>2.7157164869029346E-2</v>
      </c>
      <c r="K42" s="20">
        <f t="shared" si="11"/>
        <v>0.33170292186896638</v>
      </c>
      <c r="L42" s="20">
        <f t="shared" si="11"/>
        <v>0.25967219363445782</v>
      </c>
      <c r="M42" s="20">
        <f t="shared" si="11"/>
        <v>0.31971995332555425</v>
      </c>
      <c r="N42" s="20">
        <f t="shared" si="11"/>
        <v>0.31109324758842444</v>
      </c>
      <c r="O42" s="20">
        <f t="shared" si="11"/>
        <v>9.8840952994204784E-2</v>
      </c>
      <c r="P42" s="20">
        <f t="shared" si="11"/>
        <v>0</v>
      </c>
      <c r="Q42" s="20">
        <f t="shared" si="11"/>
        <v>0</v>
      </c>
      <c r="R42" s="20">
        <f t="shared" si="11"/>
        <v>0</v>
      </c>
    </row>
    <row r="43" spans="2:20" x14ac:dyDescent="0.3">
      <c r="C43" t="s">
        <v>30</v>
      </c>
      <c r="E43" s="20">
        <f>IFERROR((E$24-D$24)/E$24,0)</f>
        <v>0</v>
      </c>
      <c r="F43" s="20">
        <f t="shared" ref="F43:R43" si="12">IFERROR((F$24-E$24)/F$24,0)</f>
        <v>1</v>
      </c>
      <c r="G43" s="20">
        <f t="shared" si="12"/>
        <v>-1.8134715025905891E-2</v>
      </c>
      <c r="H43" s="20">
        <f t="shared" si="12"/>
        <v>0.65719360568383678</v>
      </c>
      <c r="I43" s="20">
        <f t="shared" si="12"/>
        <v>0.2081575246132204</v>
      </c>
      <c r="J43" s="20">
        <f t="shared" si="12"/>
        <v>7.4821080026025069E-2</v>
      </c>
      <c r="K43" s="20">
        <f t="shared" si="12"/>
        <v>0.30672079386558398</v>
      </c>
      <c r="L43" s="20">
        <f t="shared" si="12"/>
        <v>0.20108108108108103</v>
      </c>
      <c r="M43" s="20">
        <f t="shared" si="12"/>
        <v>0.43916734033953103</v>
      </c>
      <c r="N43" s="20">
        <f t="shared" si="12"/>
        <v>0.41374407582938405</v>
      </c>
      <c r="O43" s="20">
        <f t="shared" si="12"/>
        <v>0.11521123807526976</v>
      </c>
      <c r="P43" s="20">
        <f t="shared" si="12"/>
        <v>0</v>
      </c>
      <c r="Q43" s="20">
        <f t="shared" si="12"/>
        <v>0</v>
      </c>
      <c r="R43" s="20">
        <f t="shared" si="12"/>
        <v>0</v>
      </c>
    </row>
    <row r="44" spans="2:20" x14ac:dyDescent="0.3">
      <c r="C44" t="s">
        <v>33</v>
      </c>
      <c r="E44" s="20">
        <f>IFERROR((E$37-D$37)/E$37,0)</f>
        <v>0</v>
      </c>
      <c r="F44" s="20">
        <f t="shared" ref="F44:R44" si="13">IFERROR((F$37-E$37)/F$37,0)</f>
        <v>1</v>
      </c>
      <c r="G44" s="20">
        <f t="shared" si="13"/>
        <v>0.33707865168539691</v>
      </c>
      <c r="H44" s="20">
        <f t="shared" si="13"/>
        <v>0.94858463316002328</v>
      </c>
      <c r="I44" s="20">
        <f t="shared" si="13"/>
        <v>-0.8050052137643392</v>
      </c>
      <c r="J44" s="20">
        <f t="shared" si="13"/>
        <v>0.10790697674418698</v>
      </c>
      <c r="K44" s="20">
        <f t="shared" si="13"/>
        <v>0.29876060013046302</v>
      </c>
      <c r="L44" s="20">
        <f t="shared" si="13"/>
        <v>0.20072992700729902</v>
      </c>
      <c r="M44" s="20">
        <f t="shared" si="13"/>
        <v>0.36130536130536106</v>
      </c>
      <c r="N44" s="20">
        <f t="shared" si="13"/>
        <v>0.45843101893597865</v>
      </c>
      <c r="O44" s="20">
        <f t="shared" si="13"/>
        <v>7.459946595460544E-2</v>
      </c>
      <c r="P44" s="20">
        <f t="shared" si="13"/>
        <v>0</v>
      </c>
      <c r="Q44" s="20">
        <f t="shared" si="13"/>
        <v>0</v>
      </c>
      <c r="R44" s="20">
        <f t="shared" si="13"/>
        <v>0</v>
      </c>
    </row>
    <row r="47" spans="2:20" x14ac:dyDescent="0.3">
      <c r="C47" s="3" t="s">
        <v>35</v>
      </c>
    </row>
    <row r="49" spans="3:21" x14ac:dyDescent="0.3">
      <c r="C49" t="s">
        <v>119</v>
      </c>
      <c r="D49" s="21">
        <f>IFERROR(INDEX('Data Sheet'!$B$82:$O$85, MATCH($C49, 'Data Sheet'!$A$82:$A$85, 0), MATCH(D$3, 'Data Sheet'!$B$81:$O$81, 0)), 0)</f>
        <v>0</v>
      </c>
      <c r="E49" s="21">
        <f>IFERROR(INDEX('Data Sheet'!$B$82:$O$85, MATCH($C49, 'Data Sheet'!$A$82:$A$85, 0), MATCH(E$3, 'Data Sheet'!$B$81:$O$81, 0)), 0)</f>
        <v>0</v>
      </c>
      <c r="F49" s="21">
        <f>IFERROR(INDEX('Data Sheet'!$B$82:$O$85, MATCH($C49, 'Data Sheet'!$A$82:$A$85, 0), MATCH(F$3, 'Data Sheet'!$B$81:$O$81, 0)), 0)</f>
        <v>3.58</v>
      </c>
      <c r="G49" s="21">
        <f>IFERROR(INDEX('Data Sheet'!$B$82:$O$85, MATCH($C49, 'Data Sheet'!$A$82:$A$85, 0), MATCH(G$3, 'Data Sheet'!$B$81:$O$81, 0)), 0)</f>
        <v>1.78</v>
      </c>
      <c r="H49" s="21">
        <f>IFERROR(INDEX('Data Sheet'!$B$82:$O$85, MATCH($C49, 'Data Sheet'!$A$82:$A$85, 0), MATCH(H$3, 'Data Sheet'!$B$81:$O$81, 0)), 0)</f>
        <v>9.1199999999999992</v>
      </c>
      <c r="I49" s="21">
        <f>IFERROR(INDEX('Data Sheet'!$B$82:$O$85, MATCH($C49, 'Data Sheet'!$A$82:$A$85, 0), MATCH(I$3, 'Data Sheet'!$B$81:$O$81, 0)), 0)</f>
        <v>4.21</v>
      </c>
      <c r="J49" s="21">
        <f>IFERROR(INDEX('Data Sheet'!$B$82:$O$85, MATCH($C49, 'Data Sheet'!$A$82:$A$85, 0), MATCH(J$3, 'Data Sheet'!$B$81:$O$81, 0)), 0)</f>
        <v>3.04</v>
      </c>
      <c r="K49" s="21">
        <f>IFERROR(INDEX('Data Sheet'!$B$82:$O$85, MATCH($C49, 'Data Sheet'!$A$82:$A$85, 0), MATCH(K$3, 'Data Sheet'!$B$81:$O$81, 0)), 0)</f>
        <v>44.65</v>
      </c>
      <c r="L49" s="21">
        <f>IFERROR(INDEX('Data Sheet'!$B$82:$O$85, MATCH($C49, 'Data Sheet'!$A$82:$A$85, 0), MATCH(L$3, 'Data Sheet'!$B$81:$O$81, 0)), 0)</f>
        <v>-29.9</v>
      </c>
      <c r="M49" s="21">
        <f>IFERROR(INDEX('Data Sheet'!$B$82:$O$85, MATCH($C49, 'Data Sheet'!$A$82:$A$85, 0), MATCH(M$3, 'Data Sheet'!$B$81:$O$81, 0)), 0)</f>
        <v>4.45</v>
      </c>
      <c r="N49" s="21">
        <f>IFERROR(INDEX('Data Sheet'!$B$82:$O$85, MATCH($C49, 'Data Sheet'!$A$82:$A$85, 0), MATCH(N$3, 'Data Sheet'!$B$81:$O$81, 0)), 0)</f>
        <v>68.3</v>
      </c>
      <c r="O49" s="21">
        <f>IFERROR(INDEX('Data Sheet'!$B$82:$O$85, MATCH($C49, 'Data Sheet'!$A$82:$A$85, 0), MATCH(O$3, 'Data Sheet'!$B$81:$O$81, 0)), 0)</f>
        <v>50.1</v>
      </c>
      <c r="P49" s="21">
        <f>IFERROR(INDEX('Data Sheet'!$B$82:$O$85, MATCH($C49, 'Data Sheet'!$A$82:$A$85, 0), MATCH(P$3, 'Data Sheet'!$B$81:$O$81, 0)), 0)</f>
        <v>0</v>
      </c>
      <c r="Q49" s="21">
        <f>IFERROR(INDEX('Data Sheet'!$B$82:$O$85, MATCH($C49, 'Data Sheet'!$A$82:$A$85, 0), MATCH(Q$3, 'Data Sheet'!$B$81:$O$81, 0)), 0)</f>
        <v>0</v>
      </c>
      <c r="R49" s="21">
        <f>IFERROR(INDEX('Data Sheet'!$B$82:$O$85, MATCH($C49, 'Data Sheet'!$A$82:$A$85, 0), MATCH(R$3, 'Data Sheet'!$B$81:$O$81, 0)), 0)</f>
        <v>0</v>
      </c>
      <c r="S49" s="21">
        <f>IFERROR(INDEX('Data Sheet'!$B$82:$O$85, MATCH($C49, 'Data Sheet'!$A$82:$A$85, 0), MATCH(S$3, 'Data Sheet'!$B$81:$O$81, 0)), 0)</f>
        <v>0</v>
      </c>
      <c r="T49" s="21">
        <f>IFERROR(INDEX('Data Sheet'!$B$82:$O$85, MATCH($C49, 'Data Sheet'!$A$82:$A$85, 0), MATCH(T$3, 'Data Sheet'!$B$81:$O$81, 0)), 0)</f>
        <v>0</v>
      </c>
    </row>
    <row r="50" spans="3:21" x14ac:dyDescent="0.3">
      <c r="C50" t="s">
        <v>20</v>
      </c>
      <c r="D50" s="21">
        <f>IFERROR(INDEX('Data Sheet'!$B$17:$O$31, MATCH($C50, 'Data Sheet'!$A$17:$A$31, 0), MATCH(D$3, 'Data Sheet'!$B$16:$O$16, 0)), 0)</f>
        <v>0</v>
      </c>
      <c r="E50" s="21">
        <f>IFERROR(INDEX('Data Sheet'!$B$17:$O$31, MATCH($C50, 'Data Sheet'!$A$17:$A$31, 0), MATCH(E$3, 'Data Sheet'!$B$16:$O$16, 0)), 0)</f>
        <v>0</v>
      </c>
      <c r="F50" s="21">
        <f>IFERROR(INDEX('Data Sheet'!$B$17:$O$31, MATCH($C50, 'Data Sheet'!$A$17:$A$31, 0), MATCH(F$3, 'Data Sheet'!$B$16:$O$16, 0)), 0)</f>
        <v>1.74</v>
      </c>
      <c r="G50" s="21">
        <f>IFERROR(INDEX('Data Sheet'!$B$17:$O$31, MATCH($C50, 'Data Sheet'!$A$17:$A$31, 0), MATCH(G$3, 'Data Sheet'!$B$16:$O$16, 0)), 0)</f>
        <v>1.79</v>
      </c>
      <c r="H50" s="21">
        <f>IFERROR(INDEX('Data Sheet'!$B$17:$O$31, MATCH($C50, 'Data Sheet'!$A$17:$A$31, 0), MATCH(H$3, 'Data Sheet'!$B$16:$O$16, 0)), 0)</f>
        <v>1.64</v>
      </c>
      <c r="I50" s="21">
        <f>IFERROR(INDEX('Data Sheet'!$B$17:$O$31, MATCH($C50, 'Data Sheet'!$A$17:$A$31, 0), MATCH(I$3, 'Data Sheet'!$B$16:$O$16, 0)), 0)</f>
        <v>2.0499999999999998</v>
      </c>
      <c r="J50" s="21">
        <f>IFERROR(INDEX('Data Sheet'!$B$17:$O$31, MATCH($C50, 'Data Sheet'!$A$17:$A$31, 0), MATCH(J$3, 'Data Sheet'!$B$16:$O$16, 0)), 0)</f>
        <v>2.71</v>
      </c>
      <c r="K50" s="21">
        <f>IFERROR(INDEX('Data Sheet'!$B$17:$O$31, MATCH($C50, 'Data Sheet'!$A$17:$A$31, 0), MATCH(K$3, 'Data Sheet'!$B$16:$O$16, 0)), 0)</f>
        <v>3.03</v>
      </c>
      <c r="L50" s="21">
        <f>IFERROR(INDEX('Data Sheet'!$B$17:$O$31, MATCH($C50, 'Data Sheet'!$A$17:$A$31, 0), MATCH(L$3, 'Data Sheet'!$B$16:$O$16, 0)), 0)</f>
        <v>3.97</v>
      </c>
      <c r="M50" s="21">
        <f>IFERROR(INDEX('Data Sheet'!$B$17:$O$31, MATCH($C50, 'Data Sheet'!$A$17:$A$31, 0), MATCH(M$3, 'Data Sheet'!$B$16:$O$16, 0)), 0)</f>
        <v>5.16</v>
      </c>
      <c r="N50" s="21">
        <f>IFERROR(INDEX('Data Sheet'!$B$17:$O$31, MATCH($C50, 'Data Sheet'!$A$17:$A$31, 0), MATCH(N$3, 'Data Sheet'!$B$16:$O$16, 0)), 0)</f>
        <v>7.06</v>
      </c>
      <c r="O50" s="21">
        <f>IFERROR(INDEX('Data Sheet'!$B$17:$O$31, MATCH($C50, 'Data Sheet'!$A$17:$A$31, 0), MATCH(O$3, 'Data Sheet'!$B$16:$O$16, 0)), 0)</f>
        <v>11.39</v>
      </c>
      <c r="P50" s="21">
        <f>IFERROR(INDEX('Data Sheet'!$B$17:$O$31, MATCH($C50, 'Data Sheet'!$A$17:$A$31, 0), MATCH(P$3, 'Data Sheet'!$B$16:$O$16, 0)), 0)</f>
        <v>0</v>
      </c>
      <c r="Q50" s="21">
        <f>IFERROR(INDEX('Data Sheet'!$B$17:$O$31, MATCH($C50, 'Data Sheet'!$A$17:$A$31, 0), MATCH(Q$3, 'Data Sheet'!$B$16:$O$16, 0)), 0)</f>
        <v>0</v>
      </c>
      <c r="R50" s="21">
        <f>IFERROR(INDEX('Data Sheet'!$B$17:$O$31, MATCH($C50, 'Data Sheet'!$A$17:$A$31, 0), MATCH(R$3, 'Data Sheet'!$B$16:$O$16, 0)), 0)</f>
        <v>0</v>
      </c>
      <c r="S50" s="21">
        <f>IFERROR(INDEX('Data Sheet'!$B$17:$O$31, MATCH($C50, 'Data Sheet'!$A$17:$A$31, 0), MATCH(S$3, 'Data Sheet'!$B$16:$O$16, 0)), 0)</f>
        <v>0</v>
      </c>
      <c r="T50" s="21">
        <f>IFERROR(INDEX('Data Sheet'!$B$17:$O$31, MATCH($C50, 'Data Sheet'!$A$17:$A$31, 0), MATCH(T$3, 'Data Sheet'!$B$16:$O$16, 0)), 0)</f>
        <v>0</v>
      </c>
    </row>
    <row r="51" spans="3:21" ht="43.2" x14ac:dyDescent="0.3">
      <c r="C51" s="14" t="s">
        <v>36</v>
      </c>
      <c r="D51" s="21">
        <f>BS!D30+'P&amp;L Analysis'!D50</f>
        <v>0</v>
      </c>
      <c r="E51" s="21">
        <f>BS!E30+'P&amp;L Analysis'!E50</f>
        <v>0</v>
      </c>
      <c r="F51" s="21">
        <v>0</v>
      </c>
      <c r="G51" s="21">
        <f>BS!G30+'P&amp;L Analysis'!G50</f>
        <v>1.7000000000000002</v>
      </c>
      <c r="H51" s="21">
        <f>BS!H30+'P&amp;L Analysis'!H50</f>
        <v>0.43999999999999884</v>
      </c>
      <c r="I51" s="21">
        <f>BS!I30+'P&amp;L Analysis'!I50</f>
        <v>1.6900000000000004</v>
      </c>
      <c r="J51" s="21">
        <f>BS!J30+'P&amp;L Analysis'!J50</f>
        <v>5.19</v>
      </c>
      <c r="K51" s="21">
        <f>BS!K30+'P&amp;L Analysis'!K50</f>
        <v>5.5799999999999983</v>
      </c>
      <c r="L51" s="21">
        <f>BS!L30+'P&amp;L Analysis'!L50</f>
        <v>18.91</v>
      </c>
      <c r="M51" s="21">
        <f>BS!M30+'P&amp;L Analysis'!M50</f>
        <v>7.6500000000000021</v>
      </c>
      <c r="N51" s="21">
        <f>BS!N30+'P&amp;L Analysis'!N50</f>
        <v>32.950000000000003</v>
      </c>
      <c r="O51" s="21">
        <f>BS!O30+'P&amp;L Analysis'!O50</f>
        <v>50.83</v>
      </c>
      <c r="P51" s="21">
        <f>BS!P30+'P&amp;L Analysis'!P50</f>
        <v>0</v>
      </c>
      <c r="Q51" s="21">
        <f>BS!Q30+'P&amp;L Analysis'!Q50</f>
        <v>0</v>
      </c>
      <c r="R51" s="21">
        <f>BS!R30+'P&amp;L Analysis'!R50</f>
        <v>0</v>
      </c>
      <c r="S51" s="21">
        <f>BS!S30+'P&amp;L Analysis'!S50</f>
        <v>0</v>
      </c>
      <c r="T51" s="21">
        <f>BS!T30+'P&amp;L Analysis'!T50</f>
        <v>0</v>
      </c>
    </row>
    <row r="53" spans="3:21" x14ac:dyDescent="0.3">
      <c r="C53" t="s">
        <v>37</v>
      </c>
      <c r="D53" s="21">
        <f>D49-D51</f>
        <v>0</v>
      </c>
      <c r="E53" s="21">
        <f t="shared" ref="E53:U53" si="14">E49-E51</f>
        <v>0</v>
      </c>
      <c r="F53" s="21">
        <v>0</v>
      </c>
      <c r="G53" s="21">
        <f t="shared" si="14"/>
        <v>7.9999999999999849E-2</v>
      </c>
      <c r="H53" s="21">
        <f t="shared" si="14"/>
        <v>8.68</v>
      </c>
      <c r="I53" s="21">
        <f t="shared" si="14"/>
        <v>2.5199999999999996</v>
      </c>
      <c r="J53" s="21">
        <f t="shared" si="14"/>
        <v>-2.1500000000000004</v>
      </c>
      <c r="K53" s="21">
        <f t="shared" si="14"/>
        <v>39.07</v>
      </c>
      <c r="L53" s="21">
        <f t="shared" si="14"/>
        <v>-48.81</v>
      </c>
      <c r="M53" s="21">
        <f t="shared" si="14"/>
        <v>-3.200000000000002</v>
      </c>
      <c r="N53" s="21">
        <f t="shared" si="14"/>
        <v>35.349999999999994</v>
      </c>
      <c r="O53" s="21">
        <f t="shared" si="14"/>
        <v>-0.72999999999999687</v>
      </c>
      <c r="P53" s="21">
        <f t="shared" si="14"/>
        <v>0</v>
      </c>
      <c r="Q53" s="21">
        <f t="shared" si="14"/>
        <v>0</v>
      </c>
      <c r="R53" s="21">
        <f t="shared" si="14"/>
        <v>0</v>
      </c>
      <c r="S53" s="21">
        <f t="shared" si="14"/>
        <v>0</v>
      </c>
      <c r="T53" s="21">
        <f t="shared" si="14"/>
        <v>0</v>
      </c>
      <c r="U53" s="21"/>
    </row>
    <row r="55" spans="3:21" x14ac:dyDescent="0.3">
      <c r="C55" s="3" t="s">
        <v>45</v>
      </c>
    </row>
    <row r="57" spans="3:21" x14ac:dyDescent="0.3">
      <c r="C57" t="s">
        <v>46</v>
      </c>
    </row>
    <row r="58" spans="3:21" x14ac:dyDescent="0.3">
      <c r="C58" t="s">
        <v>47</v>
      </c>
    </row>
    <row r="59" spans="3:21" x14ac:dyDescent="0.3">
      <c r="C59" t="s">
        <v>48</v>
      </c>
    </row>
    <row r="60" spans="3:21" x14ac:dyDescent="0.3">
      <c r="C60" t="s">
        <v>49</v>
      </c>
    </row>
    <row r="64" spans="3:21" x14ac:dyDescent="0.3">
      <c r="C64" s="3" t="s">
        <v>50</v>
      </c>
    </row>
    <row r="65" spans="3:18" x14ac:dyDescent="0.3">
      <c r="C65" t="s">
        <v>7</v>
      </c>
      <c r="D65" s="4">
        <f>IFERROR(D14/D$6,0)</f>
        <v>0</v>
      </c>
      <c r="E65" s="4">
        <f t="shared" ref="E65:R65" si="15">IFERROR(E14/E$6,0)</f>
        <v>0</v>
      </c>
      <c r="F65" s="4">
        <f t="shared" si="15"/>
        <v>0.39342265529841658</v>
      </c>
      <c r="G65" s="4">
        <f t="shared" si="15"/>
        <v>0.29839189994044074</v>
      </c>
      <c r="H65" s="4">
        <f t="shared" si="15"/>
        <v>0.33849129593810445</v>
      </c>
      <c r="I65" s="4">
        <f t="shared" si="15"/>
        <v>0.22371807562858842</v>
      </c>
      <c r="J65" s="4">
        <f t="shared" si="15"/>
        <v>0.26868258859784283</v>
      </c>
      <c r="K65" s="4">
        <f t="shared" si="15"/>
        <v>0.34200025743338913</v>
      </c>
      <c r="L65" s="4">
        <f t="shared" si="15"/>
        <v>0.48303792643415283</v>
      </c>
      <c r="M65" s="4">
        <f t="shared" si="15"/>
        <v>0.49643459095034359</v>
      </c>
      <c r="N65" s="4">
        <f t="shared" si="15"/>
        <v>0.34489996427295466</v>
      </c>
      <c r="O65" s="4">
        <f t="shared" si="15"/>
        <v>0.33491629104958148</v>
      </c>
      <c r="P65" s="4">
        <f t="shared" si="15"/>
        <v>0</v>
      </c>
      <c r="Q65" s="4">
        <f t="shared" si="15"/>
        <v>0</v>
      </c>
      <c r="R65" s="4">
        <f t="shared" si="15"/>
        <v>0</v>
      </c>
    </row>
    <row r="66" spans="3:18" x14ac:dyDescent="0.3">
      <c r="C66" t="s">
        <v>34</v>
      </c>
      <c r="D66" s="4">
        <f t="shared" ref="D66:R66" si="16">IFERROR(D15/D$6,0)</f>
        <v>0</v>
      </c>
      <c r="E66" s="4">
        <f t="shared" si="16"/>
        <v>0</v>
      </c>
      <c r="F66" s="4">
        <f t="shared" si="16"/>
        <v>5.8871295168493709E-2</v>
      </c>
      <c r="G66" s="4">
        <f t="shared" si="16"/>
        <v>-0.14204883859440143</v>
      </c>
      <c r="H66" s="4">
        <f t="shared" si="16"/>
        <v>-4.6808510638297871E-2</v>
      </c>
      <c r="I66" s="4">
        <f t="shared" si="16"/>
        <v>-5.9196198772520296E-2</v>
      </c>
      <c r="J66" s="4">
        <f t="shared" si="16"/>
        <v>1.1363636363636362E-2</v>
      </c>
      <c r="K66" s="4">
        <f t="shared" si="16"/>
        <v>-5.4061011713219202E-3</v>
      </c>
      <c r="L66" s="4">
        <f t="shared" si="16"/>
        <v>3.8117019249094719E-2</v>
      </c>
      <c r="M66" s="4">
        <f t="shared" si="16"/>
        <v>8.9589005575003253E-2</v>
      </c>
      <c r="N66" s="4">
        <f t="shared" si="16"/>
        <v>3.4833869239013935E-3</v>
      </c>
      <c r="O66" s="4">
        <f t="shared" si="16"/>
        <v>7.9724726336123625E-2</v>
      </c>
      <c r="P66" s="4">
        <f t="shared" si="16"/>
        <v>0</v>
      </c>
      <c r="Q66" s="4">
        <f t="shared" si="16"/>
        <v>0</v>
      </c>
      <c r="R66" s="4">
        <f t="shared" si="16"/>
        <v>0</v>
      </c>
    </row>
    <row r="67" spans="3:18" x14ac:dyDescent="0.3">
      <c r="C67" t="s">
        <v>8</v>
      </c>
      <c r="D67" s="4">
        <f t="shared" ref="D67:R67" si="17">IFERROR(D16/D$6,0)</f>
        <v>0</v>
      </c>
      <c r="E67" s="4">
        <f t="shared" si="17"/>
        <v>0</v>
      </c>
      <c r="F67" s="4">
        <f t="shared" si="17"/>
        <v>1.2992285830288268E-2</v>
      </c>
      <c r="G67" s="4">
        <f t="shared" si="17"/>
        <v>9.2316855270994647E-3</v>
      </c>
      <c r="H67" s="4">
        <f t="shared" si="17"/>
        <v>8.3172147001934222E-3</v>
      </c>
      <c r="I67" s="4">
        <f t="shared" si="17"/>
        <v>9.3050881013660661E-3</v>
      </c>
      <c r="J67" s="4">
        <f t="shared" si="17"/>
        <v>8.2819722650231114E-3</v>
      </c>
      <c r="K67" s="4">
        <f t="shared" si="17"/>
        <v>6.6932681168747595E-3</v>
      </c>
      <c r="L67" s="4">
        <f t="shared" si="17"/>
        <v>5.431675242995997E-3</v>
      </c>
      <c r="M67" s="4">
        <f t="shared" si="17"/>
        <v>5.3157007649423053E-3</v>
      </c>
      <c r="N67" s="4">
        <f t="shared" si="17"/>
        <v>6.6988210075026797E-3</v>
      </c>
      <c r="O67" s="4">
        <f t="shared" si="17"/>
        <v>9.0952994204764968E-3</v>
      </c>
      <c r="P67" s="4">
        <f t="shared" si="17"/>
        <v>0</v>
      </c>
      <c r="Q67" s="4">
        <f t="shared" si="17"/>
        <v>0</v>
      </c>
      <c r="R67" s="4">
        <f t="shared" si="17"/>
        <v>0</v>
      </c>
    </row>
    <row r="68" spans="3:18" x14ac:dyDescent="0.3">
      <c r="C68" t="s">
        <v>9</v>
      </c>
      <c r="D68" s="4">
        <f t="shared" ref="D68:R68" si="18">IFERROR(D17/D$6,0)</f>
        <v>0</v>
      </c>
      <c r="E68" s="4">
        <f t="shared" si="18"/>
        <v>0</v>
      </c>
      <c r="F68" s="4">
        <f t="shared" si="18"/>
        <v>8.2825822168087704E-2</v>
      </c>
      <c r="G68" s="4">
        <f t="shared" si="18"/>
        <v>6.1346039309112574E-2</v>
      </c>
      <c r="H68" s="4">
        <f t="shared" si="18"/>
        <v>5.9767891682785297E-2</v>
      </c>
      <c r="I68" s="4">
        <f t="shared" si="18"/>
        <v>9.7010492971688789E-2</v>
      </c>
      <c r="J68" s="4">
        <f t="shared" si="18"/>
        <v>9.8998459167950678E-2</v>
      </c>
      <c r="K68" s="4">
        <f t="shared" si="18"/>
        <v>0.11430042476509204</v>
      </c>
      <c r="L68" s="4">
        <f t="shared" si="18"/>
        <v>7.1469411092052598E-2</v>
      </c>
      <c r="M68" s="4">
        <f t="shared" si="18"/>
        <v>8.0837546998573845E-2</v>
      </c>
      <c r="N68" s="4">
        <f t="shared" si="18"/>
        <v>7.0426938192211505E-2</v>
      </c>
      <c r="O68" s="4">
        <f t="shared" si="18"/>
        <v>8.2582099162910497E-2</v>
      </c>
      <c r="P68" s="4">
        <f t="shared" si="18"/>
        <v>0</v>
      </c>
      <c r="Q68" s="4">
        <f t="shared" si="18"/>
        <v>0</v>
      </c>
      <c r="R68" s="4">
        <f t="shared" si="18"/>
        <v>0</v>
      </c>
    </row>
    <row r="69" spans="3:18" x14ac:dyDescent="0.3">
      <c r="C69" t="s">
        <v>10</v>
      </c>
      <c r="D69" s="4">
        <f t="shared" ref="D69:R69" si="19">IFERROR(D18/D$6,0)</f>
        <v>0</v>
      </c>
      <c r="E69" s="4">
        <f t="shared" si="19"/>
        <v>0</v>
      </c>
      <c r="F69" s="4">
        <f t="shared" si="19"/>
        <v>0.16849370686155096</v>
      </c>
      <c r="G69" s="4">
        <f t="shared" si="19"/>
        <v>0.14443120905300774</v>
      </c>
      <c r="H69" s="4">
        <f t="shared" si="19"/>
        <v>0.15145067698259188</v>
      </c>
      <c r="I69" s="4">
        <f t="shared" si="19"/>
        <v>0.16808552761829343</v>
      </c>
      <c r="J69" s="4">
        <f t="shared" si="19"/>
        <v>0.19453004622496148</v>
      </c>
      <c r="K69" s="4">
        <f t="shared" si="19"/>
        <v>0.13425151242116101</v>
      </c>
      <c r="L69" s="4">
        <f t="shared" si="19"/>
        <v>0.12530970078139891</v>
      </c>
      <c r="M69" s="4">
        <f t="shared" si="19"/>
        <v>0.10832360949047065</v>
      </c>
      <c r="N69" s="4">
        <f t="shared" si="19"/>
        <v>0.15273311897106112</v>
      </c>
      <c r="O69" s="4">
        <f t="shared" si="19"/>
        <v>0.20975531229877656</v>
      </c>
      <c r="P69" s="4">
        <f t="shared" si="19"/>
        <v>0</v>
      </c>
      <c r="Q69" s="4">
        <f t="shared" si="19"/>
        <v>0</v>
      </c>
      <c r="R69" s="4">
        <f t="shared" si="19"/>
        <v>0</v>
      </c>
    </row>
    <row r="70" spans="3:18" x14ac:dyDescent="0.3">
      <c r="C70" t="s">
        <v>11</v>
      </c>
      <c r="D70" s="4">
        <f t="shared" ref="D70:R70" si="20">IFERROR(D19/D$6,0)</f>
        <v>0</v>
      </c>
      <c r="E70" s="4">
        <f t="shared" si="20"/>
        <v>0</v>
      </c>
      <c r="F70" s="4">
        <f t="shared" si="20"/>
        <v>0.23264311814859931</v>
      </c>
      <c r="G70" s="4">
        <f t="shared" si="20"/>
        <v>0.21917808219178084</v>
      </c>
      <c r="H70" s="4">
        <f t="shared" si="20"/>
        <v>0.1601547388781431</v>
      </c>
      <c r="I70" s="4">
        <f t="shared" si="20"/>
        <v>0.15739457533161752</v>
      </c>
      <c r="J70" s="4">
        <f t="shared" si="20"/>
        <v>0.13655624036979969</v>
      </c>
      <c r="K70" s="4">
        <f t="shared" si="20"/>
        <v>0.10709228986999615</v>
      </c>
      <c r="L70" s="4">
        <f t="shared" si="20"/>
        <v>8.3571564703640175E-2</v>
      </c>
      <c r="M70" s="4">
        <f t="shared" si="20"/>
        <v>7.1697134707636459E-2</v>
      </c>
      <c r="N70" s="4">
        <f t="shared" si="20"/>
        <v>3.8049303322615219E-2</v>
      </c>
      <c r="O70" s="4">
        <f t="shared" si="20"/>
        <v>4.7166773985833875E-2</v>
      </c>
      <c r="P70" s="4">
        <f t="shared" si="20"/>
        <v>0</v>
      </c>
      <c r="Q70" s="4">
        <f t="shared" si="20"/>
        <v>0</v>
      </c>
      <c r="R70" s="4">
        <f t="shared" si="20"/>
        <v>0</v>
      </c>
    </row>
    <row r="71" spans="3:18" x14ac:dyDescent="0.3">
      <c r="C71" t="s">
        <v>12</v>
      </c>
      <c r="D71" s="4">
        <f t="shared" ref="D71:R71" si="21">IFERROR(D20/D$6,0)</f>
        <v>0</v>
      </c>
      <c r="E71" s="4">
        <f t="shared" si="21"/>
        <v>0</v>
      </c>
      <c r="F71" s="4">
        <f t="shared" si="21"/>
        <v>8.9321965083231838E-3</v>
      </c>
      <c r="G71" s="4">
        <f t="shared" si="21"/>
        <v>1.042287075640262E-2</v>
      </c>
      <c r="H71" s="4">
        <f t="shared" si="21"/>
        <v>1.7214700193423596E-2</v>
      </c>
      <c r="I71" s="4">
        <f t="shared" si="21"/>
        <v>3.7616313601267076E-3</v>
      </c>
      <c r="J71" s="4">
        <f t="shared" si="21"/>
        <v>8.2819722650231114E-3</v>
      </c>
      <c r="K71" s="4">
        <f t="shared" si="21"/>
        <v>4.8912343931007849E-3</v>
      </c>
      <c r="L71" s="4">
        <f t="shared" si="21"/>
        <v>4.8599199542595775E-3</v>
      </c>
      <c r="M71" s="4">
        <f t="shared" si="21"/>
        <v>6.2232594321275769E-3</v>
      </c>
      <c r="N71" s="4">
        <f t="shared" si="21"/>
        <v>1.3754912468738837E-2</v>
      </c>
      <c r="O71" s="4">
        <f t="shared" si="21"/>
        <v>1.2314874436574372E-2</v>
      </c>
      <c r="P71" s="4">
        <f t="shared" si="21"/>
        <v>0</v>
      </c>
      <c r="Q71" s="4">
        <f t="shared" si="21"/>
        <v>0</v>
      </c>
      <c r="R71" s="4">
        <f t="shared" si="21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09CD-DB81-4C89-9B05-BC3D8D46311A}">
  <dimension ref="B2:T46"/>
  <sheetViews>
    <sheetView showGridLines="0" tabSelected="1" workbookViewId="0">
      <pane ySplit="3" topLeftCell="A4" activePane="bottomLeft" state="frozen"/>
      <selection pane="bottomLeft" activeCell="N12" sqref="N12"/>
    </sheetView>
  </sheetViews>
  <sheetFormatPr defaultRowHeight="14.4" x14ac:dyDescent="0.3"/>
  <cols>
    <col min="1" max="1" width="3.21875" customWidth="1"/>
    <col min="2" max="2" width="2.88671875" style="22" customWidth="1"/>
    <col min="3" max="3" width="17.33203125" bestFit="1" customWidth="1"/>
    <col min="4" max="5" width="0" hidden="1" customWidth="1"/>
  </cols>
  <sheetData>
    <row r="2" spans="2:20" x14ac:dyDescent="0.3">
      <c r="D2" s="17">
        <v>41729</v>
      </c>
      <c r="E2" s="17">
        <v>42094</v>
      </c>
      <c r="F2" s="17">
        <v>42460</v>
      </c>
      <c r="G2" s="17">
        <v>42825</v>
      </c>
      <c r="H2" s="17">
        <v>43190</v>
      </c>
      <c r="I2" s="17">
        <v>43555</v>
      </c>
      <c r="J2" s="17">
        <v>43921</v>
      </c>
      <c r="K2" s="17">
        <v>44286</v>
      </c>
      <c r="L2" s="17">
        <v>44651</v>
      </c>
      <c r="M2" s="17">
        <v>45016</v>
      </c>
      <c r="N2" s="17">
        <v>45382</v>
      </c>
      <c r="O2" s="17">
        <v>45747</v>
      </c>
      <c r="P2" s="17">
        <v>46112</v>
      </c>
      <c r="Q2" s="17">
        <v>46477</v>
      </c>
      <c r="R2" s="17">
        <v>46843</v>
      </c>
      <c r="S2" s="17">
        <v>47208</v>
      </c>
      <c r="T2" s="17">
        <v>47573</v>
      </c>
    </row>
    <row r="3" spans="2:20" x14ac:dyDescent="0.3">
      <c r="D3" s="15" t="s">
        <v>126</v>
      </c>
      <c r="E3" s="15" t="s">
        <v>126</v>
      </c>
      <c r="F3" s="15" t="s">
        <v>126</v>
      </c>
      <c r="G3" s="15" t="s">
        <v>126</v>
      </c>
      <c r="H3" s="15" t="s">
        <v>126</v>
      </c>
      <c r="I3" s="15" t="s">
        <v>126</v>
      </c>
      <c r="J3" s="15" t="s">
        <v>126</v>
      </c>
      <c r="K3" s="15" t="s">
        <v>126</v>
      </c>
      <c r="L3" s="15" t="s">
        <v>126</v>
      </c>
      <c r="M3" s="15" t="s">
        <v>126</v>
      </c>
      <c r="N3" s="15" t="s">
        <v>126</v>
      </c>
      <c r="O3" s="15" t="s">
        <v>126</v>
      </c>
      <c r="P3" s="16" t="s">
        <v>127</v>
      </c>
      <c r="Q3" s="16" t="s">
        <v>127</v>
      </c>
      <c r="R3" s="16" t="s">
        <v>127</v>
      </c>
      <c r="S3" s="16" t="s">
        <v>127</v>
      </c>
      <c r="T3" s="16" t="s">
        <v>127</v>
      </c>
    </row>
    <row r="4" spans="2:20" x14ac:dyDescent="0.3">
      <c r="B4" s="22" t="s">
        <v>4</v>
      </c>
      <c r="C4" s="19" t="s">
        <v>55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x14ac:dyDescent="0.3">
      <c r="C5" t="s">
        <v>51</v>
      </c>
      <c r="D5" s="21">
        <f>IFERROR(INDEX('Data Sheet'!$B$57:$O$72, MATCH($C5, 'Data Sheet'!$A$57:$A$72, 0), MATCH(D$2, 'Data Sheet'!$B$56:$O$56, 0)), 0)</f>
        <v>0</v>
      </c>
      <c r="E5" s="21">
        <f>IFERROR(INDEX('Data Sheet'!$B$57:$O$72, MATCH($C5, 'Data Sheet'!$A$57:$A$72, 0), MATCH(E$2, 'Data Sheet'!$B$56:$O$56, 0)), 0)</f>
        <v>0</v>
      </c>
      <c r="F5" s="21">
        <f>IFERROR(INDEX('Data Sheet'!$B$57:$O$72, MATCH($C5, 'Data Sheet'!$A$57:$A$72, 0), MATCH(F$2, 'Data Sheet'!$B$56:$O$56, 0)), 0)</f>
        <v>4.0599999999999996</v>
      </c>
      <c r="G5" s="21">
        <f>IFERROR(INDEX('Data Sheet'!$B$57:$O$72, MATCH($C5, 'Data Sheet'!$A$57:$A$72, 0), MATCH(G$2, 'Data Sheet'!$B$56:$O$56, 0)), 0)</f>
        <v>4.0599999999999996</v>
      </c>
      <c r="H5" s="21">
        <f>IFERROR(INDEX('Data Sheet'!$B$57:$O$72, MATCH($C5, 'Data Sheet'!$A$57:$A$72, 0), MATCH(H$2, 'Data Sheet'!$B$56:$O$56, 0)), 0)</f>
        <v>4.0599999999999996</v>
      </c>
      <c r="I5" s="21">
        <f>IFERROR(INDEX('Data Sheet'!$B$57:$O$72, MATCH($C5, 'Data Sheet'!$A$57:$A$72, 0), MATCH(I$2, 'Data Sheet'!$B$56:$O$56, 0)), 0)</f>
        <v>4.0599999999999996</v>
      </c>
      <c r="J5" s="21">
        <f>IFERROR(INDEX('Data Sheet'!$B$57:$O$72, MATCH($C5, 'Data Sheet'!$A$57:$A$72, 0), MATCH(J$2, 'Data Sheet'!$B$56:$O$56, 0)), 0)</f>
        <v>4.0599999999999996</v>
      </c>
      <c r="K5" s="21">
        <f>IFERROR(INDEX('Data Sheet'!$B$57:$O$72, MATCH($C5, 'Data Sheet'!$A$57:$A$72, 0), MATCH(K$2, 'Data Sheet'!$B$56:$O$56, 0)), 0)</f>
        <v>4.0599999999999996</v>
      </c>
      <c r="L5" s="21">
        <f>IFERROR(INDEX('Data Sheet'!$B$57:$O$72, MATCH($C5, 'Data Sheet'!$A$57:$A$72, 0), MATCH(L$2, 'Data Sheet'!$B$56:$O$56, 0)), 0)</f>
        <v>4.0599999999999996</v>
      </c>
      <c r="M5" s="21">
        <f>IFERROR(INDEX('Data Sheet'!$B$57:$O$72, MATCH($C5, 'Data Sheet'!$A$57:$A$72, 0), MATCH(M$2, 'Data Sheet'!$B$56:$O$56, 0)), 0)</f>
        <v>16.22</v>
      </c>
      <c r="N5" s="21">
        <f>IFERROR(INDEX('Data Sheet'!$B$57:$O$72, MATCH($C5, 'Data Sheet'!$A$57:$A$72, 0), MATCH(N$2, 'Data Sheet'!$B$56:$O$56, 0)), 0)</f>
        <v>48.65</v>
      </c>
      <c r="O5" s="21">
        <f>IFERROR(INDEX('Data Sheet'!$B$57:$O$72, MATCH($C5, 'Data Sheet'!$A$57:$A$72, 0), MATCH(O$2, 'Data Sheet'!$B$56:$O$56, 0)), 0)</f>
        <v>48.95</v>
      </c>
      <c r="P5" s="21">
        <f>IFERROR(INDEX('Data Sheet'!$B$57:$O$72, MATCH($C5, 'Data Sheet'!$A$57:$A$72, 0), MATCH(P$2, 'Data Sheet'!$B$56:$O$56, 0)), 0)</f>
        <v>0</v>
      </c>
      <c r="Q5" s="21">
        <f>IFERROR(INDEX('Data Sheet'!$B$57:$O$72, MATCH($C5, 'Data Sheet'!$A$57:$A$72, 0), MATCH(Q$2, 'Data Sheet'!$B$56:$O$56, 0)), 0)</f>
        <v>0</v>
      </c>
      <c r="R5" s="21">
        <f>IFERROR(INDEX('Data Sheet'!$B$57:$O$72, MATCH($C5, 'Data Sheet'!$A$57:$A$72, 0), MATCH(R$2, 'Data Sheet'!$B$56:$O$56, 0)), 0)</f>
        <v>0</v>
      </c>
      <c r="S5" s="21">
        <f>IFERROR(INDEX('Data Sheet'!$B$57:$O$72, MATCH($C5, 'Data Sheet'!$A$57:$A$72, 0), MATCH(S$2, 'Data Sheet'!$B$56:$O$56, 0)), 0)</f>
        <v>0</v>
      </c>
      <c r="T5" s="21">
        <f>IFERROR(INDEX('Data Sheet'!$B$57:$O$72, MATCH($C5, 'Data Sheet'!$A$57:$A$72, 0), MATCH(T$2, 'Data Sheet'!$B$56:$O$56, 0)), 0)</f>
        <v>0</v>
      </c>
    </row>
    <row r="6" spans="2:20" x14ac:dyDescent="0.3">
      <c r="C6" t="s">
        <v>52</v>
      </c>
      <c r="D6" s="21">
        <f>IFERROR(INDEX('Data Sheet'!$B$57:$O$72, MATCH($C6, 'Data Sheet'!$A$57:$A$72, 0), MATCH(D$2, 'Data Sheet'!$B$56:$O$56, 0)), 0)</f>
        <v>0</v>
      </c>
      <c r="E6" s="21">
        <f>IFERROR(INDEX('Data Sheet'!$B$57:$O$72, MATCH($C6, 'Data Sheet'!$A$57:$A$72, 0), MATCH(E$2, 'Data Sheet'!$B$56:$O$56, 0)), 0)</f>
        <v>0</v>
      </c>
      <c r="F6" s="21">
        <f>IFERROR(INDEX('Data Sheet'!$B$57:$O$72, MATCH($C6, 'Data Sheet'!$A$57:$A$72, 0), MATCH(F$2, 'Data Sheet'!$B$56:$O$56, 0)), 0)</f>
        <v>15.69</v>
      </c>
      <c r="G6" s="21">
        <f>IFERROR(INDEX('Data Sheet'!$B$57:$O$72, MATCH($C6, 'Data Sheet'!$A$57:$A$72, 0), MATCH(G$2, 'Data Sheet'!$B$56:$O$56, 0)), 0)</f>
        <v>16.57</v>
      </c>
      <c r="H6" s="21">
        <f>IFERROR(INDEX('Data Sheet'!$B$57:$O$72, MATCH($C6, 'Data Sheet'!$A$57:$A$72, 0), MATCH(H$2, 'Data Sheet'!$B$56:$O$56, 0)), 0)</f>
        <v>32.9</v>
      </c>
      <c r="I6" s="21">
        <f>IFERROR(INDEX('Data Sheet'!$B$57:$O$72, MATCH($C6, 'Data Sheet'!$A$57:$A$72, 0), MATCH(I$2, 'Data Sheet'!$B$56:$O$56, 0)), 0)</f>
        <v>38.99</v>
      </c>
      <c r="J6" s="21">
        <f>IFERROR(INDEX('Data Sheet'!$B$57:$O$72, MATCH($C6, 'Data Sheet'!$A$57:$A$72, 0), MATCH(J$2, 'Data Sheet'!$B$56:$O$56, 0)), 0)</f>
        <v>47.62</v>
      </c>
      <c r="K6" s="21">
        <f>IFERROR(INDEX('Data Sheet'!$B$57:$O$72, MATCH($C6, 'Data Sheet'!$A$57:$A$72, 0), MATCH(K$2, 'Data Sheet'!$B$56:$O$56, 0)), 0)</f>
        <v>62.18</v>
      </c>
      <c r="L6" s="21">
        <f>IFERROR(INDEX('Data Sheet'!$B$57:$O$72, MATCH($C6, 'Data Sheet'!$A$57:$A$72, 0), MATCH(L$2, 'Data Sheet'!$B$56:$O$56, 0)), 0)</f>
        <v>79.66</v>
      </c>
      <c r="M6" s="21">
        <f>IFERROR(INDEX('Data Sheet'!$B$57:$O$72, MATCH($C6, 'Data Sheet'!$A$57:$A$72, 0), MATCH(M$2, 'Data Sheet'!$B$56:$O$56, 0)), 0)</f>
        <v>95.66</v>
      </c>
      <c r="N6" s="21">
        <f>IFERROR(INDEX('Data Sheet'!$B$57:$O$72, MATCH($C6, 'Data Sheet'!$A$57:$A$72, 0), MATCH(N$2, 'Data Sheet'!$B$56:$O$56, 0)), 0)</f>
        <v>122.76</v>
      </c>
      <c r="O6" s="21">
        <f>IFERROR(INDEX('Data Sheet'!$B$57:$O$72, MATCH($C6, 'Data Sheet'!$A$57:$A$72, 0), MATCH(O$2, 'Data Sheet'!$B$56:$O$56, 0)), 0)</f>
        <v>199.06</v>
      </c>
      <c r="P6" s="21">
        <f>IFERROR(INDEX('Data Sheet'!$B$57:$O$72, MATCH($C6, 'Data Sheet'!$A$57:$A$72, 0), MATCH(P$2, 'Data Sheet'!$B$56:$O$56, 0)), 0)</f>
        <v>0</v>
      </c>
      <c r="Q6" s="21">
        <f>IFERROR(INDEX('Data Sheet'!$B$57:$O$72, MATCH($C6, 'Data Sheet'!$A$57:$A$72, 0), MATCH(Q$2, 'Data Sheet'!$B$56:$O$56, 0)), 0)</f>
        <v>0</v>
      </c>
      <c r="R6" s="21">
        <f>IFERROR(INDEX('Data Sheet'!$B$57:$O$72, MATCH($C6, 'Data Sheet'!$A$57:$A$72, 0), MATCH(R$2, 'Data Sheet'!$B$56:$O$56, 0)), 0)</f>
        <v>0</v>
      </c>
      <c r="S6" s="21">
        <f>IFERROR(INDEX('Data Sheet'!$B$57:$O$72, MATCH($C6, 'Data Sheet'!$A$57:$A$72, 0), MATCH(S$2, 'Data Sheet'!$B$56:$O$56, 0)), 0)</f>
        <v>0</v>
      </c>
      <c r="T6" s="21">
        <f>IFERROR(INDEX('Data Sheet'!$B$57:$O$72, MATCH($C6, 'Data Sheet'!$A$57:$A$72, 0), MATCH(T$2, 'Data Sheet'!$B$56:$O$56, 0)), 0)</f>
        <v>0</v>
      </c>
    </row>
    <row r="7" spans="2:20" x14ac:dyDescent="0.3">
      <c r="C7" t="s">
        <v>53</v>
      </c>
      <c r="D7" s="21">
        <f>IFERROR(INDEX('Data Sheet'!$B$57:$O$72, MATCH($C7, 'Data Sheet'!$A$57:$A$72, 0), MATCH(D$2, 'Data Sheet'!$B$56:$O$56, 0)), 0)</f>
        <v>0</v>
      </c>
      <c r="E7" s="21">
        <f>IFERROR(INDEX('Data Sheet'!$B$57:$O$72, MATCH($C7, 'Data Sheet'!$A$57:$A$72, 0), MATCH(E$2, 'Data Sheet'!$B$56:$O$56, 0)), 0)</f>
        <v>0</v>
      </c>
      <c r="F7" s="21">
        <f>IFERROR(INDEX('Data Sheet'!$B$57:$O$72, MATCH($C7, 'Data Sheet'!$A$57:$A$72, 0), MATCH(F$2, 'Data Sheet'!$B$56:$O$56, 0)), 0)</f>
        <v>9.4700000000000006</v>
      </c>
      <c r="G7" s="21">
        <f>IFERROR(INDEX('Data Sheet'!$B$57:$O$72, MATCH($C7, 'Data Sheet'!$A$57:$A$72, 0), MATCH(G$2, 'Data Sheet'!$B$56:$O$56, 0)), 0)</f>
        <v>10.44</v>
      </c>
      <c r="H7" s="21">
        <f>IFERROR(INDEX('Data Sheet'!$B$57:$O$72, MATCH($C7, 'Data Sheet'!$A$57:$A$72, 0), MATCH(H$2, 'Data Sheet'!$B$56:$O$56, 0)), 0)</f>
        <v>0</v>
      </c>
      <c r="I7" s="21">
        <f>IFERROR(INDEX('Data Sheet'!$B$57:$O$72, MATCH($C7, 'Data Sheet'!$A$57:$A$72, 0), MATCH(I$2, 'Data Sheet'!$B$56:$O$56, 0)), 0)</f>
        <v>0</v>
      </c>
      <c r="J7" s="21">
        <f>IFERROR(INDEX('Data Sheet'!$B$57:$O$72, MATCH($C7, 'Data Sheet'!$A$57:$A$72, 0), MATCH(J$2, 'Data Sheet'!$B$56:$O$56, 0)), 0)</f>
        <v>0</v>
      </c>
      <c r="K7" s="21">
        <f>IFERROR(INDEX('Data Sheet'!$B$57:$O$72, MATCH($C7, 'Data Sheet'!$A$57:$A$72, 0), MATCH(K$2, 'Data Sheet'!$B$56:$O$56, 0)), 0)</f>
        <v>3.06</v>
      </c>
      <c r="L7" s="21">
        <f>IFERROR(INDEX('Data Sheet'!$B$57:$O$72, MATCH($C7, 'Data Sheet'!$A$57:$A$72, 0), MATCH(L$2, 'Data Sheet'!$B$56:$O$56, 0)), 0)</f>
        <v>15.65</v>
      </c>
      <c r="M7" s="21">
        <f>IFERROR(INDEX('Data Sheet'!$B$57:$O$72, MATCH($C7, 'Data Sheet'!$A$57:$A$72, 0), MATCH(M$2, 'Data Sheet'!$B$56:$O$56, 0)), 0)</f>
        <v>30.34</v>
      </c>
      <c r="N7" s="21">
        <f>IFERROR(INDEX('Data Sheet'!$B$57:$O$72, MATCH($C7, 'Data Sheet'!$A$57:$A$72, 0), MATCH(N$2, 'Data Sheet'!$B$56:$O$56, 0)), 0)</f>
        <v>17.5</v>
      </c>
      <c r="O7" s="21">
        <f>IFERROR(INDEX('Data Sheet'!$B$57:$O$72, MATCH($C7, 'Data Sheet'!$A$57:$A$72, 0), MATCH(O$2, 'Data Sheet'!$B$56:$O$56, 0)), 0)</f>
        <v>26.33</v>
      </c>
      <c r="P7" s="21">
        <f>IFERROR(INDEX('Data Sheet'!$B$57:$O$72, MATCH($C7, 'Data Sheet'!$A$57:$A$72, 0), MATCH(P$2, 'Data Sheet'!$B$56:$O$56, 0)), 0)</f>
        <v>0</v>
      </c>
      <c r="Q7" s="21">
        <f>IFERROR(INDEX('Data Sheet'!$B$57:$O$72, MATCH($C7, 'Data Sheet'!$A$57:$A$72, 0), MATCH(Q$2, 'Data Sheet'!$B$56:$O$56, 0)), 0)</f>
        <v>0</v>
      </c>
      <c r="R7" s="21">
        <f>IFERROR(INDEX('Data Sheet'!$B$57:$O$72, MATCH($C7, 'Data Sheet'!$A$57:$A$72, 0), MATCH(R$2, 'Data Sheet'!$B$56:$O$56, 0)), 0)</f>
        <v>0</v>
      </c>
      <c r="S7" s="21">
        <f>IFERROR(INDEX('Data Sheet'!$B$57:$O$72, MATCH($C7, 'Data Sheet'!$A$57:$A$72, 0), MATCH(S$2, 'Data Sheet'!$B$56:$O$56, 0)), 0)</f>
        <v>0</v>
      </c>
      <c r="T7" s="21">
        <f>IFERROR(INDEX('Data Sheet'!$B$57:$O$72, MATCH($C7, 'Data Sheet'!$A$57:$A$72, 0), MATCH(T$2, 'Data Sheet'!$B$56:$O$56, 0)), 0)</f>
        <v>0</v>
      </c>
    </row>
    <row r="8" spans="2:20" x14ac:dyDescent="0.3">
      <c r="C8" t="s">
        <v>54</v>
      </c>
      <c r="D8" s="21">
        <f>IFERROR(INDEX('Data Sheet'!$B$57:$O$72, MATCH($C8, 'Data Sheet'!$A$57:$A$72, 0), MATCH(D$2, 'Data Sheet'!$B$56:$O$56, 0)), 0)</f>
        <v>0</v>
      </c>
      <c r="E8" s="21">
        <f>IFERROR(INDEX('Data Sheet'!$B$57:$O$72, MATCH($C8, 'Data Sheet'!$A$57:$A$72, 0), MATCH(E$2, 'Data Sheet'!$B$56:$O$56, 0)), 0)</f>
        <v>0</v>
      </c>
      <c r="F8" s="21">
        <f>IFERROR(INDEX('Data Sheet'!$B$57:$O$72, MATCH($C8, 'Data Sheet'!$A$57:$A$72, 0), MATCH(F$2, 'Data Sheet'!$B$56:$O$56, 0)), 0)</f>
        <v>3.08</v>
      </c>
      <c r="G8" s="21">
        <f>IFERROR(INDEX('Data Sheet'!$B$57:$O$72, MATCH($C8, 'Data Sheet'!$A$57:$A$72, 0), MATCH(G$2, 'Data Sheet'!$B$56:$O$56, 0)), 0)</f>
        <v>2.78</v>
      </c>
      <c r="H8" s="21">
        <f>IFERROR(INDEX('Data Sheet'!$B$57:$O$72, MATCH($C8, 'Data Sheet'!$A$57:$A$72, 0), MATCH(H$2, 'Data Sheet'!$B$56:$O$56, 0)), 0)</f>
        <v>6.08</v>
      </c>
      <c r="I8" s="21">
        <f>IFERROR(INDEX('Data Sheet'!$B$57:$O$72, MATCH($C8, 'Data Sheet'!$A$57:$A$72, 0), MATCH(I$2, 'Data Sheet'!$B$56:$O$56, 0)), 0)</f>
        <v>4.2300000000000004</v>
      </c>
      <c r="J8" s="21">
        <f>IFERROR(INDEX('Data Sheet'!$B$57:$O$72, MATCH($C8, 'Data Sheet'!$A$57:$A$72, 0), MATCH(J$2, 'Data Sheet'!$B$56:$O$56, 0)), 0)</f>
        <v>15.2</v>
      </c>
      <c r="K8" s="21">
        <f>IFERROR(INDEX('Data Sheet'!$B$57:$O$72, MATCH($C8, 'Data Sheet'!$A$57:$A$72, 0), MATCH(K$2, 'Data Sheet'!$B$56:$O$56, 0)), 0)</f>
        <v>17.46</v>
      </c>
      <c r="L8" s="21">
        <f>IFERROR(INDEX('Data Sheet'!$B$57:$O$72, MATCH($C8, 'Data Sheet'!$A$57:$A$72, 0), MATCH(L$2, 'Data Sheet'!$B$56:$O$56, 0)), 0)</f>
        <v>10.76</v>
      </c>
      <c r="M8" s="21">
        <f>IFERROR(INDEX('Data Sheet'!$B$57:$O$72, MATCH($C8, 'Data Sheet'!$A$57:$A$72, 0), MATCH(M$2, 'Data Sheet'!$B$56:$O$56, 0)), 0)</f>
        <v>11.57</v>
      </c>
      <c r="N8" s="21">
        <f>IFERROR(INDEX('Data Sheet'!$B$57:$O$72, MATCH($C8, 'Data Sheet'!$A$57:$A$72, 0), MATCH(N$2, 'Data Sheet'!$B$56:$O$56, 0)), 0)</f>
        <v>34.06</v>
      </c>
      <c r="O8" s="21">
        <f>IFERROR(INDEX('Data Sheet'!$B$57:$O$72, MATCH($C8, 'Data Sheet'!$A$57:$A$72, 0), MATCH(O$2, 'Data Sheet'!$B$56:$O$56, 0)), 0)</f>
        <v>23.42</v>
      </c>
      <c r="P8" s="21">
        <f>IFERROR(INDEX('Data Sheet'!$B$57:$O$72, MATCH($C8, 'Data Sheet'!$A$57:$A$72, 0), MATCH(P$2, 'Data Sheet'!$B$56:$O$56, 0)), 0)</f>
        <v>0</v>
      </c>
      <c r="Q8" s="21">
        <f>IFERROR(INDEX('Data Sheet'!$B$57:$O$72, MATCH($C8, 'Data Sheet'!$A$57:$A$72, 0), MATCH(Q$2, 'Data Sheet'!$B$56:$O$56, 0)), 0)</f>
        <v>0</v>
      </c>
      <c r="R8" s="21">
        <f>IFERROR(INDEX('Data Sheet'!$B$57:$O$72, MATCH($C8, 'Data Sheet'!$A$57:$A$72, 0), MATCH(R$2, 'Data Sheet'!$B$56:$O$56, 0)), 0)</f>
        <v>0</v>
      </c>
      <c r="S8" s="21">
        <f>IFERROR(INDEX('Data Sheet'!$B$57:$O$72, MATCH($C8, 'Data Sheet'!$A$57:$A$72, 0), MATCH(S$2, 'Data Sheet'!$B$56:$O$56, 0)), 0)</f>
        <v>0</v>
      </c>
      <c r="T8" s="21">
        <f>IFERROR(INDEX('Data Sheet'!$B$57:$O$72, MATCH($C8, 'Data Sheet'!$A$57:$A$72, 0), MATCH(T$2, 'Data Sheet'!$B$56:$O$56, 0)), 0)</f>
        <v>0</v>
      </c>
    </row>
    <row r="9" spans="2:20" x14ac:dyDescent="0.3"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spans="2:20" ht="15" thickBot="1" x14ac:dyDescent="0.35">
      <c r="C10" s="24" t="s">
        <v>56</v>
      </c>
      <c r="D10" s="23">
        <f>SUBTOTAL(9,D5:D8)</f>
        <v>0</v>
      </c>
      <c r="E10" s="23">
        <f t="shared" ref="E10:T10" si="0">SUBTOTAL(9,E5:E8)</f>
        <v>0</v>
      </c>
      <c r="F10" s="23">
        <f t="shared" si="0"/>
        <v>32.299999999999997</v>
      </c>
      <c r="G10" s="23">
        <f t="shared" si="0"/>
        <v>33.85</v>
      </c>
      <c r="H10" s="23">
        <f t="shared" si="0"/>
        <v>43.04</v>
      </c>
      <c r="I10" s="23">
        <f t="shared" si="0"/>
        <v>47.28</v>
      </c>
      <c r="J10" s="23">
        <f t="shared" si="0"/>
        <v>66.88</v>
      </c>
      <c r="K10" s="23">
        <f t="shared" si="0"/>
        <v>86.759999999999991</v>
      </c>
      <c r="L10" s="23">
        <f t="shared" si="0"/>
        <v>110.13000000000001</v>
      </c>
      <c r="M10" s="23">
        <f t="shared" si="0"/>
        <v>153.79</v>
      </c>
      <c r="N10" s="23">
        <f t="shared" si="0"/>
        <v>222.97</v>
      </c>
      <c r="O10" s="23">
        <f t="shared" si="0"/>
        <v>297.76</v>
      </c>
      <c r="P10" s="23">
        <f t="shared" si="0"/>
        <v>0</v>
      </c>
      <c r="Q10" s="23">
        <f t="shared" si="0"/>
        <v>0</v>
      </c>
      <c r="R10" s="23">
        <f t="shared" si="0"/>
        <v>0</v>
      </c>
      <c r="S10" s="23">
        <f t="shared" si="0"/>
        <v>0</v>
      </c>
      <c r="T10" s="23">
        <f t="shared" si="0"/>
        <v>0</v>
      </c>
    </row>
    <row r="11" spans="2:20" ht="15" thickTop="1" x14ac:dyDescent="0.3"/>
    <row r="12" spans="2:20" x14ac:dyDescent="0.3">
      <c r="B12" s="22" t="s">
        <v>58</v>
      </c>
      <c r="C12" s="19" t="s">
        <v>57</v>
      </c>
    </row>
    <row r="14" spans="2:20" x14ac:dyDescent="0.3">
      <c r="C14" t="s">
        <v>112</v>
      </c>
      <c r="D14" s="21">
        <f>IFERROR(INDEX('Data Sheet'!$B$57:$O$72, MATCH($C14, 'Data Sheet'!$A$57:$A$72, 0), MATCH(D$2, 'Data Sheet'!$B$56:$O$56, 0)), 0)</f>
        <v>0</v>
      </c>
      <c r="E14" s="21">
        <f>IFERROR(INDEX('Data Sheet'!$B$57:$O$72, MATCH($C14, 'Data Sheet'!$A$57:$A$72, 0), MATCH(E$2, 'Data Sheet'!$B$56:$O$56, 0)), 0)</f>
        <v>0</v>
      </c>
      <c r="F14" s="21">
        <f>IFERROR(INDEX('Data Sheet'!$B$57:$O$72, MATCH($C14, 'Data Sheet'!$A$57:$A$72, 0), MATCH(F$2, 'Data Sheet'!$B$56:$O$56, 0)), 0)</f>
        <v>13.39</v>
      </c>
      <c r="G14" s="21">
        <f>IFERROR(INDEX('Data Sheet'!$B$57:$O$72, MATCH($C14, 'Data Sheet'!$A$57:$A$72, 0), MATCH(G$2, 'Data Sheet'!$B$56:$O$56, 0)), 0)</f>
        <v>13.3</v>
      </c>
      <c r="H14" s="21">
        <f>IFERROR(INDEX('Data Sheet'!$B$57:$O$72, MATCH($C14, 'Data Sheet'!$A$57:$A$72, 0), MATCH(H$2, 'Data Sheet'!$B$56:$O$56, 0)), 0)</f>
        <v>12.1</v>
      </c>
      <c r="I14" s="21">
        <f>IFERROR(INDEX('Data Sheet'!$B$57:$O$72, MATCH($C14, 'Data Sheet'!$A$57:$A$72, 0), MATCH(I$2, 'Data Sheet'!$B$56:$O$56, 0)), 0)</f>
        <v>11.66</v>
      </c>
      <c r="J14" s="21">
        <f>IFERROR(INDEX('Data Sheet'!$B$57:$O$72, MATCH($C14, 'Data Sheet'!$A$57:$A$72, 0), MATCH(J$2, 'Data Sheet'!$B$56:$O$56, 0)), 0)</f>
        <v>14.22</v>
      </c>
      <c r="K14" s="21">
        <f>IFERROR(INDEX('Data Sheet'!$B$57:$O$72, MATCH($C14, 'Data Sheet'!$A$57:$A$72, 0), MATCH(K$2, 'Data Sheet'!$B$56:$O$56, 0)), 0)</f>
        <v>16.03</v>
      </c>
      <c r="L14" s="21">
        <f>IFERROR(INDEX('Data Sheet'!$B$57:$O$72, MATCH($C14, 'Data Sheet'!$A$57:$A$72, 0), MATCH(L$2, 'Data Sheet'!$B$56:$O$56, 0)), 0)</f>
        <v>24.7</v>
      </c>
      <c r="M14" s="21">
        <f>IFERROR(INDEX('Data Sheet'!$B$57:$O$72, MATCH($C14, 'Data Sheet'!$A$57:$A$72, 0), MATCH(M$2, 'Data Sheet'!$B$56:$O$56, 0)), 0)</f>
        <v>25.54</v>
      </c>
      <c r="N14" s="21">
        <f>IFERROR(INDEX('Data Sheet'!$B$57:$O$72, MATCH($C14, 'Data Sheet'!$A$57:$A$72, 0), MATCH(N$2, 'Data Sheet'!$B$56:$O$56, 0)), 0)</f>
        <v>44.17</v>
      </c>
      <c r="O14" s="21">
        <f>IFERROR(INDEX('Data Sheet'!$B$57:$O$72, MATCH($C14, 'Data Sheet'!$A$57:$A$72, 0), MATCH(O$2, 'Data Sheet'!$B$56:$O$56, 0)), 0)</f>
        <v>94.99</v>
      </c>
      <c r="P14" s="21">
        <f>IFERROR(INDEX('Data Sheet'!$B$57:$O$72, MATCH($C14, 'Data Sheet'!$A$57:$A$72, 0), MATCH(P$2, 'Data Sheet'!$B$56:$O$56, 0)), 0)</f>
        <v>0</v>
      </c>
      <c r="Q14" s="21">
        <f>IFERROR(INDEX('Data Sheet'!$B$57:$O$72, MATCH($C14, 'Data Sheet'!$A$57:$A$72, 0), MATCH(Q$2, 'Data Sheet'!$B$56:$O$56, 0)), 0)</f>
        <v>0</v>
      </c>
      <c r="R14" s="21">
        <f>IFERROR(INDEX('Data Sheet'!$B$57:$O$72, MATCH($C14, 'Data Sheet'!$A$57:$A$72, 0), MATCH(R$2, 'Data Sheet'!$B$56:$O$56, 0)), 0)</f>
        <v>0</v>
      </c>
      <c r="S14" s="21">
        <f>IFERROR(INDEX('Data Sheet'!$B$57:$O$72, MATCH($C14, 'Data Sheet'!$A$57:$A$72, 0), MATCH(S$2, 'Data Sheet'!$B$56:$O$56, 0)), 0)</f>
        <v>0</v>
      </c>
      <c r="T14" s="21">
        <f>IFERROR(INDEX('Data Sheet'!$B$57:$O$72, MATCH($C14, 'Data Sheet'!$A$57:$A$72, 0), MATCH(T$2, 'Data Sheet'!$B$56:$O$56, 0)), 0)</f>
        <v>0</v>
      </c>
    </row>
    <row r="15" spans="2:20" x14ac:dyDescent="0.3">
      <c r="C15" t="s">
        <v>113</v>
      </c>
      <c r="D15" s="21">
        <f>IFERROR(INDEX('Data Sheet'!$B$57:$O$72, MATCH($C15, 'Data Sheet'!$A$57:$A$72, 0), MATCH(D$2, 'Data Sheet'!$B$56:$O$56, 0)), 0)</f>
        <v>0</v>
      </c>
      <c r="E15" s="21">
        <f>IFERROR(INDEX('Data Sheet'!$B$57:$O$72, MATCH($C15, 'Data Sheet'!$A$57:$A$72, 0), MATCH(E$2, 'Data Sheet'!$B$56:$O$56, 0)), 0)</f>
        <v>0</v>
      </c>
      <c r="F15" s="21">
        <f>IFERROR(INDEX('Data Sheet'!$B$57:$O$72, MATCH($C15, 'Data Sheet'!$A$57:$A$72, 0), MATCH(F$2, 'Data Sheet'!$B$56:$O$56, 0)), 0)</f>
        <v>0</v>
      </c>
      <c r="G15" s="21">
        <f>IFERROR(INDEX('Data Sheet'!$B$57:$O$72, MATCH($C15, 'Data Sheet'!$A$57:$A$72, 0), MATCH(G$2, 'Data Sheet'!$B$56:$O$56, 0)), 0)</f>
        <v>0</v>
      </c>
      <c r="H15" s="21">
        <f>IFERROR(INDEX('Data Sheet'!$B$57:$O$72, MATCH($C15, 'Data Sheet'!$A$57:$A$72, 0), MATCH(H$2, 'Data Sheet'!$B$56:$O$56, 0)), 0)</f>
        <v>0</v>
      </c>
      <c r="I15" s="21">
        <f>IFERROR(INDEX('Data Sheet'!$B$57:$O$72, MATCH($C15, 'Data Sheet'!$A$57:$A$72, 0), MATCH(I$2, 'Data Sheet'!$B$56:$O$56, 0)), 0)</f>
        <v>0.08</v>
      </c>
      <c r="J15" s="21">
        <f>IFERROR(INDEX('Data Sheet'!$B$57:$O$72, MATCH($C15, 'Data Sheet'!$A$57:$A$72, 0), MATCH(J$2, 'Data Sheet'!$B$56:$O$56, 0)), 0)</f>
        <v>0</v>
      </c>
      <c r="K15" s="21">
        <f>IFERROR(INDEX('Data Sheet'!$B$57:$O$72, MATCH($C15, 'Data Sheet'!$A$57:$A$72, 0), MATCH(K$2, 'Data Sheet'!$B$56:$O$56, 0)), 0)</f>
        <v>0.74</v>
      </c>
      <c r="L15" s="21">
        <f>IFERROR(INDEX('Data Sheet'!$B$57:$O$72, MATCH($C15, 'Data Sheet'!$A$57:$A$72, 0), MATCH(L$2, 'Data Sheet'!$B$56:$O$56, 0)), 0)</f>
        <v>7.01</v>
      </c>
      <c r="M15" s="21">
        <f>IFERROR(INDEX('Data Sheet'!$B$57:$O$72, MATCH($C15, 'Data Sheet'!$A$57:$A$72, 0), MATCH(M$2, 'Data Sheet'!$B$56:$O$56, 0)), 0)</f>
        <v>8.66</v>
      </c>
      <c r="N15" s="21">
        <f>IFERROR(INDEX('Data Sheet'!$B$57:$O$72, MATCH($C15, 'Data Sheet'!$A$57:$A$72, 0), MATCH(N$2, 'Data Sheet'!$B$56:$O$56, 0)), 0)</f>
        <v>15.92</v>
      </c>
      <c r="O15" s="21">
        <f>IFERROR(INDEX('Data Sheet'!$B$57:$O$72, MATCH($C15, 'Data Sheet'!$A$57:$A$72, 0), MATCH(O$2, 'Data Sheet'!$B$56:$O$56, 0)), 0)</f>
        <v>4.54</v>
      </c>
      <c r="P15" s="21">
        <f>IFERROR(INDEX('Data Sheet'!$B$57:$O$72, MATCH($C15, 'Data Sheet'!$A$57:$A$72, 0), MATCH(P$2, 'Data Sheet'!$B$56:$O$56, 0)), 0)</f>
        <v>0</v>
      </c>
      <c r="Q15" s="21">
        <f>IFERROR(INDEX('Data Sheet'!$B$57:$O$72, MATCH($C15, 'Data Sheet'!$A$57:$A$72, 0), MATCH(Q$2, 'Data Sheet'!$B$56:$O$56, 0)), 0)</f>
        <v>0</v>
      </c>
      <c r="R15" s="21">
        <f>IFERROR(INDEX('Data Sheet'!$B$57:$O$72, MATCH($C15, 'Data Sheet'!$A$57:$A$72, 0), MATCH(R$2, 'Data Sheet'!$B$56:$O$56, 0)), 0)</f>
        <v>0</v>
      </c>
      <c r="S15" s="21">
        <f>IFERROR(INDEX('Data Sheet'!$B$57:$O$72, MATCH($C15, 'Data Sheet'!$A$57:$A$72, 0), MATCH(S$2, 'Data Sheet'!$B$56:$O$56, 0)), 0)</f>
        <v>0</v>
      </c>
      <c r="T15" s="21">
        <f>IFERROR(INDEX('Data Sheet'!$B$57:$O$72, MATCH($C15, 'Data Sheet'!$A$57:$A$72, 0), MATCH(T$2, 'Data Sheet'!$B$56:$O$56, 0)), 0)</f>
        <v>0</v>
      </c>
    </row>
    <row r="16" spans="2:20" x14ac:dyDescent="0.3">
      <c r="C16" t="s">
        <v>114</v>
      </c>
      <c r="D16" s="21">
        <f>IFERROR(INDEX('Data Sheet'!$B$57:$O$72, MATCH($C16, 'Data Sheet'!$A$57:$A$72, 0), MATCH(D$2, 'Data Sheet'!$B$56:$O$56, 0)), 0)</f>
        <v>0</v>
      </c>
      <c r="E16" s="21">
        <f>IFERROR(INDEX('Data Sheet'!$B$57:$O$72, MATCH($C16, 'Data Sheet'!$A$57:$A$72, 0), MATCH(E$2, 'Data Sheet'!$B$56:$O$56, 0)), 0)</f>
        <v>0</v>
      </c>
      <c r="F16" s="21">
        <f>IFERROR(INDEX('Data Sheet'!$B$57:$O$72, MATCH($C16, 'Data Sheet'!$A$57:$A$72, 0), MATCH(F$2, 'Data Sheet'!$B$56:$O$56, 0)), 0)</f>
        <v>0</v>
      </c>
      <c r="G16" s="21">
        <f>IFERROR(INDEX('Data Sheet'!$B$57:$O$72, MATCH($C16, 'Data Sheet'!$A$57:$A$72, 0), MATCH(G$2, 'Data Sheet'!$B$56:$O$56, 0)), 0)</f>
        <v>0</v>
      </c>
      <c r="H16" s="21">
        <f>IFERROR(INDEX('Data Sheet'!$B$57:$O$72, MATCH($C16, 'Data Sheet'!$A$57:$A$72, 0), MATCH(H$2, 'Data Sheet'!$B$56:$O$56, 0)), 0)</f>
        <v>0</v>
      </c>
      <c r="I16" s="21">
        <f>IFERROR(INDEX('Data Sheet'!$B$57:$O$72, MATCH($C16, 'Data Sheet'!$A$57:$A$72, 0), MATCH(I$2, 'Data Sheet'!$B$56:$O$56, 0)), 0)</f>
        <v>0</v>
      </c>
      <c r="J16" s="21">
        <f>IFERROR(INDEX('Data Sheet'!$B$57:$O$72, MATCH($C16, 'Data Sheet'!$A$57:$A$72, 0), MATCH(J$2, 'Data Sheet'!$B$56:$O$56, 0)), 0)</f>
        <v>0</v>
      </c>
      <c r="K16" s="21">
        <f>IFERROR(INDEX('Data Sheet'!$B$57:$O$72, MATCH($C16, 'Data Sheet'!$A$57:$A$72, 0), MATCH(K$2, 'Data Sheet'!$B$56:$O$56, 0)), 0)</f>
        <v>0</v>
      </c>
      <c r="L16" s="21">
        <f>IFERROR(INDEX('Data Sheet'!$B$57:$O$72, MATCH($C16, 'Data Sheet'!$A$57:$A$72, 0), MATCH(L$2, 'Data Sheet'!$B$56:$O$56, 0)), 0)</f>
        <v>5</v>
      </c>
      <c r="M16" s="21">
        <f>IFERROR(INDEX('Data Sheet'!$B$57:$O$72, MATCH($C16, 'Data Sheet'!$A$57:$A$72, 0), MATCH(M$2, 'Data Sheet'!$B$56:$O$56, 0)), 0)</f>
        <v>11.75</v>
      </c>
      <c r="N16" s="21">
        <f>IFERROR(INDEX('Data Sheet'!$B$57:$O$72, MATCH($C16, 'Data Sheet'!$A$57:$A$72, 0), MATCH(N$2, 'Data Sheet'!$B$56:$O$56, 0)), 0)</f>
        <v>17</v>
      </c>
      <c r="O16" s="21">
        <f>IFERROR(INDEX('Data Sheet'!$B$57:$O$72, MATCH($C16, 'Data Sheet'!$A$57:$A$72, 0), MATCH(O$2, 'Data Sheet'!$B$56:$O$56, 0)), 0)</f>
        <v>30</v>
      </c>
      <c r="P16" s="21">
        <f>IFERROR(INDEX('Data Sheet'!$B$57:$O$72, MATCH($C16, 'Data Sheet'!$A$57:$A$72, 0), MATCH(P$2, 'Data Sheet'!$B$56:$O$56, 0)), 0)</f>
        <v>0</v>
      </c>
      <c r="Q16" s="21">
        <f>IFERROR(INDEX('Data Sheet'!$B$57:$O$72, MATCH($C16, 'Data Sheet'!$A$57:$A$72, 0), MATCH(Q$2, 'Data Sheet'!$B$56:$O$56, 0)), 0)</f>
        <v>0</v>
      </c>
      <c r="R16" s="21">
        <f>IFERROR(INDEX('Data Sheet'!$B$57:$O$72, MATCH($C16, 'Data Sheet'!$A$57:$A$72, 0), MATCH(R$2, 'Data Sheet'!$B$56:$O$56, 0)), 0)</f>
        <v>0</v>
      </c>
      <c r="S16" s="21">
        <f>IFERROR(INDEX('Data Sheet'!$B$57:$O$72, MATCH($C16, 'Data Sheet'!$A$57:$A$72, 0), MATCH(S$2, 'Data Sheet'!$B$56:$O$56, 0)), 0)</f>
        <v>0</v>
      </c>
      <c r="T16" s="21">
        <f>IFERROR(INDEX('Data Sheet'!$B$57:$O$72, MATCH($C16, 'Data Sheet'!$A$57:$A$72, 0), MATCH(T$2, 'Data Sheet'!$B$56:$O$56, 0)), 0)</f>
        <v>0</v>
      </c>
    </row>
    <row r="17" spans="2:20" x14ac:dyDescent="0.3">
      <c r="C17" t="s">
        <v>61</v>
      </c>
      <c r="D17" s="21">
        <f>IFERROR(INDEX('Data Sheet'!$B$57:$O$72, MATCH($C17, 'Data Sheet'!$A$57:$A$72, 0), MATCH(D$2, 'Data Sheet'!$B$56:$O$56, 0)), 0)</f>
        <v>0</v>
      </c>
      <c r="E17" s="21">
        <f>IFERROR(INDEX('Data Sheet'!$B$57:$O$72, MATCH($C17, 'Data Sheet'!$A$57:$A$72, 0), MATCH(E$2, 'Data Sheet'!$B$56:$O$56, 0)), 0)</f>
        <v>0</v>
      </c>
      <c r="F17" s="21">
        <f>IFERROR(INDEX('Data Sheet'!$B$57:$O$72, MATCH($C17, 'Data Sheet'!$A$57:$A$72, 0), MATCH(F$2, 'Data Sheet'!$B$56:$O$56, 0)), 0)</f>
        <v>4.09</v>
      </c>
      <c r="G17" s="21">
        <f>IFERROR(INDEX('Data Sheet'!$B$57:$O$72, MATCH($C17, 'Data Sheet'!$A$57:$A$72, 0), MATCH(G$2, 'Data Sheet'!$B$56:$O$56, 0)), 0)</f>
        <v>9.6199999999999992</v>
      </c>
      <c r="H17" s="21">
        <f>IFERROR(INDEX('Data Sheet'!$B$57:$O$72, MATCH($C17, 'Data Sheet'!$A$57:$A$72, 0), MATCH(H$2, 'Data Sheet'!$B$56:$O$56, 0)), 0)</f>
        <v>8.92</v>
      </c>
      <c r="I17" s="21">
        <f>IFERROR(INDEX('Data Sheet'!$B$57:$O$72, MATCH($C17, 'Data Sheet'!$A$57:$A$72, 0), MATCH(I$2, 'Data Sheet'!$B$56:$O$56, 0)), 0)</f>
        <v>19.260000000000002</v>
      </c>
      <c r="J17" s="21">
        <f>IFERROR(INDEX('Data Sheet'!$B$57:$O$72, MATCH($C17, 'Data Sheet'!$A$57:$A$72, 0), MATCH(J$2, 'Data Sheet'!$B$56:$O$56, 0)), 0)</f>
        <v>29.65</v>
      </c>
      <c r="K17" s="21">
        <f>IFERROR(INDEX('Data Sheet'!$B$57:$O$72, MATCH($C17, 'Data Sheet'!$A$57:$A$72, 0), MATCH(K$2, 'Data Sheet'!$B$56:$O$56, 0)), 0)</f>
        <v>13.13</v>
      </c>
      <c r="L17" s="21">
        <f>IFERROR(INDEX('Data Sheet'!$B$57:$O$72, MATCH($C17, 'Data Sheet'!$A$57:$A$72, 0), MATCH(L$2, 'Data Sheet'!$B$56:$O$56, 0)), 0)</f>
        <v>36.159999999999997</v>
      </c>
      <c r="M17" s="21">
        <f>IFERROR(INDEX('Data Sheet'!$B$57:$O$72, MATCH($C17, 'Data Sheet'!$A$57:$A$72, 0), MATCH(M$2, 'Data Sheet'!$B$56:$O$56, 0)), 0)</f>
        <v>39.74</v>
      </c>
      <c r="N17" s="21">
        <f>IFERROR(INDEX('Data Sheet'!$B$57:$O$72, MATCH($C17, 'Data Sheet'!$A$57:$A$72, 0), MATCH(N$2, 'Data Sheet'!$B$56:$O$56, 0)), 0)</f>
        <v>64.099999999999994</v>
      </c>
      <c r="O17" s="21">
        <f>IFERROR(INDEX('Data Sheet'!$B$57:$O$72, MATCH($C17, 'Data Sheet'!$A$57:$A$72, 0), MATCH(O$2, 'Data Sheet'!$B$56:$O$56, 0)), 0)</f>
        <v>71.09</v>
      </c>
      <c r="P17" s="21">
        <f>IFERROR(INDEX('Data Sheet'!$B$57:$O$72, MATCH($C17, 'Data Sheet'!$A$57:$A$72, 0), MATCH(P$2, 'Data Sheet'!$B$56:$O$56, 0)), 0)</f>
        <v>0</v>
      </c>
      <c r="Q17" s="21">
        <f>IFERROR(INDEX('Data Sheet'!$B$57:$O$72, MATCH($C17, 'Data Sheet'!$A$57:$A$72, 0), MATCH(Q$2, 'Data Sheet'!$B$56:$O$56, 0)), 0)</f>
        <v>0</v>
      </c>
      <c r="R17" s="21">
        <f>IFERROR(INDEX('Data Sheet'!$B$57:$O$72, MATCH($C17, 'Data Sheet'!$A$57:$A$72, 0), MATCH(R$2, 'Data Sheet'!$B$56:$O$56, 0)), 0)</f>
        <v>0</v>
      </c>
      <c r="S17" s="21">
        <f>IFERROR(INDEX('Data Sheet'!$B$57:$O$72, MATCH($C17, 'Data Sheet'!$A$57:$A$72, 0), MATCH(S$2, 'Data Sheet'!$B$56:$O$56, 0)), 0)</f>
        <v>0</v>
      </c>
      <c r="T17" s="21">
        <f>IFERROR(INDEX('Data Sheet'!$B$57:$O$72, MATCH($C17, 'Data Sheet'!$A$57:$A$72, 0), MATCH(T$2, 'Data Sheet'!$B$56:$O$56, 0)), 0)</f>
        <v>0</v>
      </c>
    </row>
    <row r="18" spans="2:20" x14ac:dyDescent="0.3">
      <c r="C18" t="s">
        <v>62</v>
      </c>
      <c r="D18" s="21">
        <f>IFERROR(INDEX('Data Sheet'!$B$57:$O$72, MATCH($C18, 'Data Sheet'!$A$57:$A$72, 0), MATCH(D$2, 'Data Sheet'!$B$56:$O$56, 0)), 0)</f>
        <v>0</v>
      </c>
      <c r="E18" s="21">
        <f>IFERROR(INDEX('Data Sheet'!$B$57:$O$72, MATCH($C18, 'Data Sheet'!$A$57:$A$72, 0), MATCH(E$2, 'Data Sheet'!$B$56:$O$56, 0)), 0)</f>
        <v>0</v>
      </c>
      <c r="F18" s="21">
        <f>IFERROR(INDEX('Data Sheet'!$B$57:$O$72, MATCH($C18, 'Data Sheet'!$A$57:$A$72, 0), MATCH(F$2, 'Data Sheet'!$B$56:$O$56, 0)), 0)</f>
        <v>12.44</v>
      </c>
      <c r="G18" s="21">
        <f>IFERROR(INDEX('Data Sheet'!$B$57:$O$72, MATCH($C18, 'Data Sheet'!$A$57:$A$72, 0), MATCH(G$2, 'Data Sheet'!$B$56:$O$56, 0)), 0)</f>
        <v>7.7</v>
      </c>
      <c r="H18" s="21">
        <f>IFERROR(INDEX('Data Sheet'!$B$57:$O$72, MATCH($C18, 'Data Sheet'!$A$57:$A$72, 0), MATCH(H$2, 'Data Sheet'!$B$56:$O$56, 0)), 0)</f>
        <v>6.67</v>
      </c>
      <c r="I18" s="21">
        <f>IFERROR(INDEX('Data Sheet'!$B$57:$O$72, MATCH($C18, 'Data Sheet'!$A$57:$A$72, 0), MATCH(I$2, 'Data Sheet'!$B$56:$O$56, 0)), 0)</f>
        <v>2.44</v>
      </c>
      <c r="J18" s="21">
        <f>IFERROR(INDEX('Data Sheet'!$B$57:$O$72, MATCH($C18, 'Data Sheet'!$A$57:$A$72, 0), MATCH(J$2, 'Data Sheet'!$B$56:$O$56, 0)), 0)</f>
        <v>5.09</v>
      </c>
      <c r="K18" s="21">
        <f>IFERROR(INDEX('Data Sheet'!$B$57:$O$72, MATCH($C18, 'Data Sheet'!$A$57:$A$72, 0), MATCH(K$2, 'Data Sheet'!$B$56:$O$56, 0)), 0)</f>
        <v>2.5099999999999998</v>
      </c>
      <c r="L18" s="21">
        <f>IFERROR(INDEX('Data Sheet'!$B$57:$O$72, MATCH($C18, 'Data Sheet'!$A$57:$A$72, 0), MATCH(L$2, 'Data Sheet'!$B$56:$O$56, 0)), 0)</f>
        <v>16.68</v>
      </c>
      <c r="M18" s="21">
        <f>IFERROR(INDEX('Data Sheet'!$B$57:$O$72, MATCH($C18, 'Data Sheet'!$A$57:$A$72, 0), MATCH(M$2, 'Data Sheet'!$B$56:$O$56, 0)), 0)</f>
        <v>44.18</v>
      </c>
      <c r="N18" s="21">
        <f>IFERROR(INDEX('Data Sheet'!$B$57:$O$72, MATCH($C18, 'Data Sheet'!$A$57:$A$72, 0), MATCH(N$2, 'Data Sheet'!$B$56:$O$56, 0)), 0)</f>
        <v>45.82</v>
      </c>
      <c r="O18" s="21">
        <f>IFERROR(INDEX('Data Sheet'!$B$57:$O$72, MATCH($C18, 'Data Sheet'!$A$57:$A$72, 0), MATCH(O$2, 'Data Sheet'!$B$56:$O$56, 0)), 0)</f>
        <v>60.03</v>
      </c>
      <c r="P18" s="21">
        <f>IFERROR(INDEX('Data Sheet'!$B$57:$O$72, MATCH($C18, 'Data Sheet'!$A$57:$A$72, 0), MATCH(P$2, 'Data Sheet'!$B$56:$O$56, 0)), 0)</f>
        <v>0</v>
      </c>
      <c r="Q18" s="21">
        <f>IFERROR(INDEX('Data Sheet'!$B$57:$O$72, MATCH($C18, 'Data Sheet'!$A$57:$A$72, 0), MATCH(Q$2, 'Data Sheet'!$B$56:$O$56, 0)), 0)</f>
        <v>0</v>
      </c>
      <c r="R18" s="21">
        <f>IFERROR(INDEX('Data Sheet'!$B$57:$O$72, MATCH($C18, 'Data Sheet'!$A$57:$A$72, 0), MATCH(R$2, 'Data Sheet'!$B$56:$O$56, 0)), 0)</f>
        <v>0</v>
      </c>
      <c r="S18" s="21">
        <f>IFERROR(INDEX('Data Sheet'!$B$57:$O$72, MATCH($C18, 'Data Sheet'!$A$57:$A$72, 0), MATCH(S$2, 'Data Sheet'!$B$56:$O$56, 0)), 0)</f>
        <v>0</v>
      </c>
      <c r="T18" s="21">
        <f>IFERROR(INDEX('Data Sheet'!$B$57:$O$72, MATCH($C18, 'Data Sheet'!$A$57:$A$72, 0), MATCH(T$2, 'Data Sheet'!$B$56:$O$56, 0)), 0)</f>
        <v>0</v>
      </c>
    </row>
    <row r="19" spans="2:20" x14ac:dyDescent="0.3">
      <c r="C19" t="s">
        <v>63</v>
      </c>
      <c r="D19" s="21">
        <f>IFERROR(INDEX('Data Sheet'!$B$57:$O$72, MATCH($C19, 'Data Sheet'!$A$57:$A$72, 0), MATCH(D$2, 'Data Sheet'!$B$56:$O$56, 0)), 0)</f>
        <v>0</v>
      </c>
      <c r="E19" s="21">
        <f>IFERROR(INDEX('Data Sheet'!$B$57:$O$72, MATCH($C19, 'Data Sheet'!$A$57:$A$72, 0), MATCH(E$2, 'Data Sheet'!$B$56:$O$56, 0)), 0)</f>
        <v>0</v>
      </c>
      <c r="F19" s="21">
        <f>IFERROR(INDEX('Data Sheet'!$B$57:$O$72, MATCH($C19, 'Data Sheet'!$A$57:$A$72, 0), MATCH(F$2, 'Data Sheet'!$B$56:$O$56, 0)), 0)</f>
        <v>0.45</v>
      </c>
      <c r="G19" s="21">
        <f>IFERROR(INDEX('Data Sheet'!$B$57:$O$72, MATCH($C19, 'Data Sheet'!$A$57:$A$72, 0), MATCH(G$2, 'Data Sheet'!$B$56:$O$56, 0)), 0)</f>
        <v>0.32</v>
      </c>
      <c r="H19" s="21">
        <f>IFERROR(INDEX('Data Sheet'!$B$57:$O$72, MATCH($C19, 'Data Sheet'!$A$57:$A$72, 0), MATCH(H$2, 'Data Sheet'!$B$56:$O$56, 0)), 0)</f>
        <v>10.96</v>
      </c>
      <c r="I19" s="21">
        <f>IFERROR(INDEX('Data Sheet'!$B$57:$O$72, MATCH($C19, 'Data Sheet'!$A$57:$A$72, 0), MATCH(I$2, 'Data Sheet'!$B$56:$O$56, 0)), 0)</f>
        <v>10.1</v>
      </c>
      <c r="J19" s="21">
        <f>IFERROR(INDEX('Data Sheet'!$B$57:$O$72, MATCH($C19, 'Data Sheet'!$A$57:$A$72, 0), MATCH(J$2, 'Data Sheet'!$B$56:$O$56, 0)), 0)</f>
        <v>7.92</v>
      </c>
      <c r="K19" s="21">
        <f>IFERROR(INDEX('Data Sheet'!$B$57:$O$72, MATCH($C19, 'Data Sheet'!$A$57:$A$72, 0), MATCH(K$2, 'Data Sheet'!$B$56:$O$56, 0)), 0)</f>
        <v>42.97</v>
      </c>
      <c r="L19" s="21">
        <f>IFERROR(INDEX('Data Sheet'!$B$57:$O$72, MATCH($C19, 'Data Sheet'!$A$57:$A$72, 0), MATCH(L$2, 'Data Sheet'!$B$56:$O$56, 0)), 0)</f>
        <v>0.82</v>
      </c>
      <c r="M19" s="21">
        <f>IFERROR(INDEX('Data Sheet'!$B$57:$O$72, MATCH($C19, 'Data Sheet'!$A$57:$A$72, 0), MATCH(M$2, 'Data Sheet'!$B$56:$O$56, 0)), 0)</f>
        <v>1.01</v>
      </c>
      <c r="N19" s="21">
        <f>IFERROR(INDEX('Data Sheet'!$B$57:$O$72, MATCH($C19, 'Data Sheet'!$A$57:$A$72, 0), MATCH(N$2, 'Data Sheet'!$B$56:$O$56, 0)), 0)</f>
        <v>12.28</v>
      </c>
      <c r="O19" s="21">
        <f>IFERROR(INDEX('Data Sheet'!$B$57:$O$72, MATCH($C19, 'Data Sheet'!$A$57:$A$72, 0), MATCH(O$2, 'Data Sheet'!$B$56:$O$56, 0)), 0)</f>
        <v>7.66</v>
      </c>
      <c r="P19" s="21">
        <f>IFERROR(INDEX('Data Sheet'!$B$57:$O$72, MATCH($C19, 'Data Sheet'!$A$57:$A$72, 0), MATCH(P$2, 'Data Sheet'!$B$56:$O$56, 0)), 0)</f>
        <v>0</v>
      </c>
      <c r="Q19" s="21">
        <f>IFERROR(INDEX('Data Sheet'!$B$57:$O$72, MATCH($C19, 'Data Sheet'!$A$57:$A$72, 0), MATCH(Q$2, 'Data Sheet'!$B$56:$O$56, 0)), 0)</f>
        <v>0</v>
      </c>
      <c r="R19" s="21">
        <f>IFERROR(INDEX('Data Sheet'!$B$57:$O$72, MATCH($C19, 'Data Sheet'!$A$57:$A$72, 0), MATCH(R$2, 'Data Sheet'!$B$56:$O$56, 0)), 0)</f>
        <v>0</v>
      </c>
      <c r="S19" s="21">
        <f>IFERROR(INDEX('Data Sheet'!$B$57:$O$72, MATCH($C19, 'Data Sheet'!$A$57:$A$72, 0), MATCH(S$2, 'Data Sheet'!$B$56:$O$56, 0)), 0)</f>
        <v>0</v>
      </c>
      <c r="T19" s="21">
        <f>IFERROR(INDEX('Data Sheet'!$B$57:$O$72, MATCH($C19, 'Data Sheet'!$A$57:$A$72, 0), MATCH(T$2, 'Data Sheet'!$B$56:$O$56, 0)), 0)</f>
        <v>0</v>
      </c>
    </row>
    <row r="20" spans="2:20" x14ac:dyDescent="0.3">
      <c r="C20" t="s">
        <v>64</v>
      </c>
      <c r="D20" s="21">
        <f>IFERROR(INDEX('Data Sheet'!$B$57:$O$72, MATCH($C20, 'Data Sheet'!$A$57:$A$72, 0), MATCH(D$2, 'Data Sheet'!$B$56:$O$56, 0)), 0)-D17-D18-D19</f>
        <v>0</v>
      </c>
      <c r="E20" s="21">
        <f>IFERROR(INDEX('Data Sheet'!$B$57:$O$72, MATCH($C20, 'Data Sheet'!$A$57:$A$72, 0), MATCH(E$2, 'Data Sheet'!$B$56:$O$56, 0)), 0)-E17-E18-E19</f>
        <v>0</v>
      </c>
      <c r="F20" s="21">
        <f>IFERROR(INDEX('Data Sheet'!$B$57:$O$72, MATCH($C20, 'Data Sheet'!$A$57:$A$72, 0), MATCH(F$2, 'Data Sheet'!$B$56:$O$56, 0)), 0)-F17-F18-F19</f>
        <v>1.9300000000000008</v>
      </c>
      <c r="G20" s="21">
        <f>IFERROR(INDEX('Data Sheet'!$B$57:$O$72, MATCH($C20, 'Data Sheet'!$A$57:$A$72, 0), MATCH(G$2, 'Data Sheet'!$B$56:$O$56, 0)), 0)-G17-G18-G19</f>
        <v>2.9100000000000015</v>
      </c>
      <c r="H20" s="21">
        <f>IFERROR(INDEX('Data Sheet'!$B$57:$O$72, MATCH($C20, 'Data Sheet'!$A$57:$A$72, 0), MATCH(H$2, 'Data Sheet'!$B$56:$O$56, 0)), 0)-H17-H18-H19</f>
        <v>4.3900000000000023</v>
      </c>
      <c r="I20" s="21">
        <f>IFERROR(INDEX('Data Sheet'!$B$57:$O$72, MATCH($C20, 'Data Sheet'!$A$57:$A$72, 0), MATCH(I$2, 'Data Sheet'!$B$56:$O$56, 0)), 0)-I17-I18-I19</f>
        <v>3.7399999999999984</v>
      </c>
      <c r="J20" s="21">
        <f>IFERROR(INDEX('Data Sheet'!$B$57:$O$72, MATCH($C20, 'Data Sheet'!$A$57:$A$72, 0), MATCH(J$2, 'Data Sheet'!$B$56:$O$56, 0)), 0)-J17-J18-J19</f>
        <v>9.9999999999999982</v>
      </c>
      <c r="K20" s="21">
        <f>IFERROR(INDEX('Data Sheet'!$B$57:$O$72, MATCH($C20, 'Data Sheet'!$A$57:$A$72, 0), MATCH(K$2, 'Data Sheet'!$B$56:$O$56, 0)), 0)-K17-K18-K19</f>
        <v>11.379999999999995</v>
      </c>
      <c r="L20" s="21">
        <f>IFERROR(INDEX('Data Sheet'!$B$57:$O$72, MATCH($C20, 'Data Sheet'!$A$57:$A$72, 0), MATCH(L$2, 'Data Sheet'!$B$56:$O$56, 0)), 0)-L17-L18-L19</f>
        <v>19.760000000000005</v>
      </c>
      <c r="M20" s="21">
        <f>IFERROR(INDEX('Data Sheet'!$B$57:$O$72, MATCH($C20, 'Data Sheet'!$A$57:$A$72, 0), MATCH(M$2, 'Data Sheet'!$B$56:$O$56, 0)), 0)-M17-M18-M19</f>
        <v>22.909999999999993</v>
      </c>
      <c r="N20" s="21">
        <f>IFERROR(INDEX('Data Sheet'!$B$57:$O$72, MATCH($C20, 'Data Sheet'!$A$57:$A$72, 0), MATCH(N$2, 'Data Sheet'!$B$56:$O$56, 0)), 0)-N17-N18-N19</f>
        <v>23.68</v>
      </c>
      <c r="O20" s="21">
        <f>IFERROR(INDEX('Data Sheet'!$B$57:$O$72, MATCH($C20, 'Data Sheet'!$A$57:$A$72, 0), MATCH(O$2, 'Data Sheet'!$B$56:$O$56, 0)), 0)-O17-O18-O19</f>
        <v>29.449999999999985</v>
      </c>
      <c r="P20" s="21">
        <f>IFERROR(INDEX('Data Sheet'!$B$57:$O$72, MATCH($C20, 'Data Sheet'!$A$57:$A$72, 0), MATCH(P$2, 'Data Sheet'!$B$56:$O$56, 0)), 0)-P17-P18-P19</f>
        <v>0</v>
      </c>
      <c r="Q20" s="21">
        <f>IFERROR(INDEX('Data Sheet'!$B$57:$O$72, MATCH($C20, 'Data Sheet'!$A$57:$A$72, 0), MATCH(Q$2, 'Data Sheet'!$B$56:$O$56, 0)), 0)-Q17-Q18-Q19</f>
        <v>0</v>
      </c>
      <c r="R20" s="21">
        <f>IFERROR(INDEX('Data Sheet'!$B$57:$O$72, MATCH($C20, 'Data Sheet'!$A$57:$A$72, 0), MATCH(R$2, 'Data Sheet'!$B$56:$O$56, 0)), 0)-R17-R18-R19</f>
        <v>0</v>
      </c>
      <c r="S20" s="21">
        <f>IFERROR(INDEX('Data Sheet'!$B$57:$O$72, MATCH($C20, 'Data Sheet'!$A$57:$A$72, 0), MATCH(S$2, 'Data Sheet'!$B$56:$O$56, 0)), 0)-S17-S18-S19</f>
        <v>0</v>
      </c>
      <c r="T20" s="21">
        <f>IFERROR(INDEX('Data Sheet'!$B$57:$O$72, MATCH($C20, 'Data Sheet'!$A$57:$A$72, 0), MATCH(T$2, 'Data Sheet'!$B$56:$O$56, 0)), 0)-T17-T18-T19</f>
        <v>0</v>
      </c>
    </row>
    <row r="21" spans="2:20" x14ac:dyDescent="0.3"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5" thickBot="1" x14ac:dyDescent="0.35">
      <c r="C22" s="24" t="s">
        <v>56</v>
      </c>
      <c r="D22" s="23">
        <f>SUBTOTAL(9,D14:D20)</f>
        <v>0</v>
      </c>
      <c r="E22" s="23">
        <f t="shared" ref="E22:T22" si="1">SUBTOTAL(9,E14:E20)</f>
        <v>0</v>
      </c>
      <c r="F22" s="23">
        <f t="shared" si="1"/>
        <v>32.300000000000004</v>
      </c>
      <c r="G22" s="23">
        <f t="shared" si="1"/>
        <v>33.85</v>
      </c>
      <c r="H22" s="23">
        <f t="shared" si="1"/>
        <v>43.04</v>
      </c>
      <c r="I22" s="23">
        <f t="shared" si="1"/>
        <v>47.28</v>
      </c>
      <c r="J22" s="23">
        <f t="shared" si="1"/>
        <v>66.88</v>
      </c>
      <c r="K22" s="23">
        <f t="shared" si="1"/>
        <v>86.759999999999991</v>
      </c>
      <c r="L22" s="23">
        <f t="shared" si="1"/>
        <v>110.13000000000001</v>
      </c>
      <c r="M22" s="23">
        <f t="shared" si="1"/>
        <v>153.79</v>
      </c>
      <c r="N22" s="23">
        <f t="shared" si="1"/>
        <v>222.97</v>
      </c>
      <c r="O22" s="23">
        <f t="shared" si="1"/>
        <v>297.76</v>
      </c>
      <c r="P22" s="23">
        <f t="shared" si="1"/>
        <v>0</v>
      </c>
      <c r="Q22" s="23">
        <f t="shared" si="1"/>
        <v>0</v>
      </c>
      <c r="R22" s="23">
        <f t="shared" si="1"/>
        <v>0</v>
      </c>
      <c r="S22" s="23">
        <f t="shared" si="1"/>
        <v>0</v>
      </c>
      <c r="T22" s="23">
        <f t="shared" si="1"/>
        <v>0</v>
      </c>
    </row>
    <row r="23" spans="2:20" ht="15" thickTop="1" x14ac:dyDescent="0.3"/>
    <row r="24" spans="2:20" x14ac:dyDescent="0.3">
      <c r="C24" t="s">
        <v>129</v>
      </c>
      <c r="D24" t="b">
        <f>D10=D22</f>
        <v>1</v>
      </c>
      <c r="E24" t="b">
        <f t="shared" ref="E24:T24" si="2">E10=E22</f>
        <v>1</v>
      </c>
      <c r="F24" t="b">
        <f t="shared" si="2"/>
        <v>1</v>
      </c>
      <c r="G24" t="b">
        <f t="shared" si="2"/>
        <v>1</v>
      </c>
      <c r="H24" t="b">
        <f t="shared" si="2"/>
        <v>1</v>
      </c>
      <c r="I24" t="b">
        <f t="shared" si="2"/>
        <v>1</v>
      </c>
      <c r="J24" t="b">
        <f t="shared" si="2"/>
        <v>1</v>
      </c>
      <c r="K24" t="b">
        <f t="shared" si="2"/>
        <v>1</v>
      </c>
      <c r="L24" t="b">
        <f t="shared" si="2"/>
        <v>1</v>
      </c>
      <c r="M24" t="b">
        <f t="shared" si="2"/>
        <v>1</v>
      </c>
      <c r="N24" t="b">
        <f t="shared" si="2"/>
        <v>1</v>
      </c>
      <c r="O24" t="b">
        <f t="shared" si="2"/>
        <v>1</v>
      </c>
      <c r="P24" t="b">
        <f t="shared" si="2"/>
        <v>1</v>
      </c>
      <c r="Q24" t="b">
        <f t="shared" si="2"/>
        <v>1</v>
      </c>
      <c r="R24" t="b">
        <f t="shared" si="2"/>
        <v>1</v>
      </c>
      <c r="S24" t="b">
        <f t="shared" si="2"/>
        <v>1</v>
      </c>
      <c r="T24" t="b">
        <f t="shared" si="2"/>
        <v>1</v>
      </c>
    </row>
    <row r="25" spans="2:20" x14ac:dyDescent="0.3">
      <c r="B25" s="22" t="s">
        <v>17</v>
      </c>
      <c r="C25" s="19" t="s">
        <v>65</v>
      </c>
    </row>
    <row r="27" spans="2:20" x14ac:dyDescent="0.3">
      <c r="B27" s="22" t="s">
        <v>89</v>
      </c>
      <c r="C27" s="25" t="s">
        <v>66</v>
      </c>
      <c r="D27" s="21">
        <f>D5+D6</f>
        <v>0</v>
      </c>
      <c r="E27" s="21">
        <f t="shared" ref="E27:T27" si="3">E5+E6</f>
        <v>0</v>
      </c>
      <c r="F27" s="21">
        <f t="shared" si="3"/>
        <v>19.75</v>
      </c>
      <c r="G27" s="21">
        <f t="shared" si="3"/>
        <v>20.63</v>
      </c>
      <c r="H27" s="21">
        <f t="shared" si="3"/>
        <v>36.96</v>
      </c>
      <c r="I27" s="21">
        <f t="shared" si="3"/>
        <v>43.050000000000004</v>
      </c>
      <c r="J27" s="21">
        <f t="shared" si="3"/>
        <v>51.68</v>
      </c>
      <c r="K27" s="21">
        <f t="shared" si="3"/>
        <v>66.239999999999995</v>
      </c>
      <c r="L27" s="21">
        <f t="shared" si="3"/>
        <v>83.72</v>
      </c>
      <c r="M27" s="21">
        <f t="shared" si="3"/>
        <v>111.88</v>
      </c>
      <c r="N27" s="21">
        <f t="shared" si="3"/>
        <v>171.41</v>
      </c>
      <c r="O27" s="21">
        <f t="shared" si="3"/>
        <v>248.01</v>
      </c>
      <c r="P27" s="21">
        <f t="shared" si="3"/>
        <v>0</v>
      </c>
      <c r="Q27" s="21">
        <f t="shared" si="3"/>
        <v>0</v>
      </c>
      <c r="R27" s="21">
        <f t="shared" si="3"/>
        <v>0</v>
      </c>
      <c r="S27" s="21">
        <f t="shared" si="3"/>
        <v>0</v>
      </c>
      <c r="T27" s="21">
        <f t="shared" si="3"/>
        <v>0</v>
      </c>
    </row>
    <row r="28" spans="2:20" x14ac:dyDescent="0.3">
      <c r="C28" t="s">
        <v>67</v>
      </c>
      <c r="D28" s="20">
        <f>IFERROR(D$27/D$10,0)</f>
        <v>0</v>
      </c>
      <c r="E28" s="20">
        <f t="shared" ref="E28:T28" si="4">IFERROR(E$27/E$10,0)</f>
        <v>0</v>
      </c>
      <c r="F28" s="20">
        <f t="shared" si="4"/>
        <v>0.61145510835913319</v>
      </c>
      <c r="G28" s="20">
        <f t="shared" si="4"/>
        <v>0.60945347119645488</v>
      </c>
      <c r="H28" s="20">
        <f t="shared" si="4"/>
        <v>0.85873605947955389</v>
      </c>
      <c r="I28" s="20">
        <f t="shared" si="4"/>
        <v>0.91053299492385797</v>
      </c>
      <c r="J28" s="20">
        <f t="shared" si="4"/>
        <v>0.77272727272727282</v>
      </c>
      <c r="K28" s="20">
        <f t="shared" si="4"/>
        <v>0.7634854771784233</v>
      </c>
      <c r="L28" s="20">
        <f t="shared" si="4"/>
        <v>0.76019249977299552</v>
      </c>
      <c r="M28" s="20">
        <f t="shared" si="4"/>
        <v>0.72748553221926004</v>
      </c>
      <c r="N28" s="20">
        <f t="shared" si="4"/>
        <v>0.76875812889626405</v>
      </c>
      <c r="O28" s="20">
        <f t="shared" si="4"/>
        <v>0.8329191295002687</v>
      </c>
      <c r="P28" s="20">
        <f t="shared" si="4"/>
        <v>0</v>
      </c>
      <c r="Q28" s="20">
        <f t="shared" si="4"/>
        <v>0</v>
      </c>
      <c r="R28" s="20">
        <f t="shared" si="4"/>
        <v>0</v>
      </c>
      <c r="S28" s="20">
        <f t="shared" si="4"/>
        <v>0</v>
      </c>
      <c r="T28" s="20">
        <f t="shared" si="4"/>
        <v>0</v>
      </c>
    </row>
    <row r="30" spans="2:20" x14ac:dyDescent="0.3">
      <c r="B30" s="22" t="s">
        <v>90</v>
      </c>
      <c r="C30" s="25" t="s">
        <v>68</v>
      </c>
      <c r="E30" s="21">
        <f>(E14+E15)-(D15+D14)</f>
        <v>0</v>
      </c>
      <c r="F30" s="21">
        <v>0</v>
      </c>
      <c r="G30" s="21">
        <f t="shared" ref="F30:T30" si="5">(G14+G15)-(F15+F14)</f>
        <v>-8.9999999999999858E-2</v>
      </c>
      <c r="H30" s="21">
        <f t="shared" si="5"/>
        <v>-1.2000000000000011</v>
      </c>
      <c r="I30" s="21">
        <f t="shared" si="5"/>
        <v>-0.35999999999999943</v>
      </c>
      <c r="J30" s="21">
        <f t="shared" si="5"/>
        <v>2.4800000000000004</v>
      </c>
      <c r="K30" s="21">
        <f t="shared" si="5"/>
        <v>2.5499999999999989</v>
      </c>
      <c r="L30" s="21">
        <f t="shared" si="5"/>
        <v>14.940000000000001</v>
      </c>
      <c r="M30" s="21">
        <f t="shared" si="5"/>
        <v>2.490000000000002</v>
      </c>
      <c r="N30" s="21">
        <f t="shared" si="5"/>
        <v>25.89</v>
      </c>
      <c r="O30" s="21">
        <f t="shared" si="5"/>
        <v>39.44</v>
      </c>
      <c r="P30" s="21">
        <v>0</v>
      </c>
      <c r="Q30" s="21">
        <f t="shared" si="5"/>
        <v>0</v>
      </c>
      <c r="R30" s="21">
        <f t="shared" si="5"/>
        <v>0</v>
      </c>
      <c r="S30" s="21">
        <f t="shared" si="5"/>
        <v>0</v>
      </c>
      <c r="T30" s="21">
        <f t="shared" si="5"/>
        <v>0</v>
      </c>
    </row>
    <row r="32" spans="2:20" x14ac:dyDescent="0.3">
      <c r="B32" s="22" t="s">
        <v>91</v>
      </c>
      <c r="C32" s="25" t="s">
        <v>69</v>
      </c>
    </row>
    <row r="34" spans="3:20" x14ac:dyDescent="0.3">
      <c r="C34" t="s">
        <v>51</v>
      </c>
      <c r="D34" s="4">
        <f>IFERROR(D$5/D$10,0)</f>
        <v>0</v>
      </c>
      <c r="E34" s="4">
        <f t="shared" ref="E34:T34" si="6">IFERROR(E$5/E$10,0)</f>
        <v>0</v>
      </c>
      <c r="F34" s="4">
        <f t="shared" si="6"/>
        <v>0.12569659442724457</v>
      </c>
      <c r="G34" s="4">
        <f t="shared" si="6"/>
        <v>0.11994091580502214</v>
      </c>
      <c r="H34" s="4">
        <f t="shared" si="6"/>
        <v>9.4330855018587359E-2</v>
      </c>
      <c r="I34" s="4">
        <f t="shared" si="6"/>
        <v>8.587140439932317E-2</v>
      </c>
      <c r="J34" s="4">
        <f t="shared" si="6"/>
        <v>6.0705741626794256E-2</v>
      </c>
      <c r="K34" s="4">
        <f t="shared" si="6"/>
        <v>4.6795758414015676E-2</v>
      </c>
      <c r="L34" s="4">
        <f t="shared" si="6"/>
        <v>3.6865522564242255E-2</v>
      </c>
      <c r="M34" s="4">
        <f t="shared" si="6"/>
        <v>0.10546849600104037</v>
      </c>
      <c r="N34" s="4">
        <f t="shared" si="6"/>
        <v>0.21819078799838543</v>
      </c>
      <c r="O34" s="4">
        <f t="shared" si="6"/>
        <v>0.16439414293390653</v>
      </c>
      <c r="P34" s="4">
        <f t="shared" si="6"/>
        <v>0</v>
      </c>
      <c r="Q34" s="4">
        <f t="shared" si="6"/>
        <v>0</v>
      </c>
      <c r="R34" s="4">
        <f t="shared" si="6"/>
        <v>0</v>
      </c>
      <c r="S34" s="4">
        <f t="shared" si="6"/>
        <v>0</v>
      </c>
      <c r="T34" s="4">
        <f t="shared" si="6"/>
        <v>0</v>
      </c>
    </row>
    <row r="35" spans="3:20" x14ac:dyDescent="0.3">
      <c r="C35" t="s">
        <v>52</v>
      </c>
      <c r="D35" s="4">
        <f>IFERROR(D$6/D$22,0)</f>
        <v>0</v>
      </c>
      <c r="E35" s="4">
        <f t="shared" ref="E35:T35" si="7">IFERROR(E$6/E$22,0)</f>
        <v>0</v>
      </c>
      <c r="F35" s="4">
        <f t="shared" si="7"/>
        <v>0.48575851393188846</v>
      </c>
      <c r="G35" s="4">
        <f t="shared" si="7"/>
        <v>0.48951255539143279</v>
      </c>
      <c r="H35" s="4">
        <f t="shared" si="7"/>
        <v>0.76440520446096649</v>
      </c>
      <c r="I35" s="4">
        <f t="shared" si="7"/>
        <v>0.82466159052453469</v>
      </c>
      <c r="J35" s="4">
        <f t="shared" si="7"/>
        <v>0.7120215311004785</v>
      </c>
      <c r="K35" s="4">
        <f t="shared" si="7"/>
        <v>0.71668971876440768</v>
      </c>
      <c r="L35" s="4">
        <f t="shared" si="7"/>
        <v>0.72332697720875316</v>
      </c>
      <c r="M35" s="4">
        <f t="shared" si="7"/>
        <v>0.62201703621821969</v>
      </c>
      <c r="N35" s="4">
        <f t="shared" si="7"/>
        <v>0.55056734089787862</v>
      </c>
      <c r="O35" s="4">
        <f t="shared" si="7"/>
        <v>0.66852498656636217</v>
      </c>
      <c r="P35" s="4">
        <f t="shared" si="7"/>
        <v>0</v>
      </c>
      <c r="Q35" s="4">
        <f t="shared" si="7"/>
        <v>0</v>
      </c>
      <c r="R35" s="4">
        <f t="shared" si="7"/>
        <v>0</v>
      </c>
      <c r="S35" s="4">
        <f t="shared" si="7"/>
        <v>0</v>
      </c>
      <c r="T35" s="4">
        <f t="shared" si="7"/>
        <v>0</v>
      </c>
    </row>
    <row r="36" spans="3:20" x14ac:dyDescent="0.3">
      <c r="C36" t="s">
        <v>53</v>
      </c>
      <c r="D36" s="4">
        <f>IFERROR(D$7/D$10,0)</f>
        <v>0</v>
      </c>
      <c r="E36" s="4">
        <f t="shared" ref="E36:T36" si="8">IFERROR(E$7/E$10,0)</f>
        <v>0</v>
      </c>
      <c r="F36" s="4">
        <f t="shared" si="8"/>
        <v>0.29318885448916415</v>
      </c>
      <c r="G36" s="4">
        <f t="shared" si="8"/>
        <v>0.30841949778434263</v>
      </c>
      <c r="H36" s="4">
        <f t="shared" si="8"/>
        <v>0</v>
      </c>
      <c r="I36" s="4">
        <f t="shared" si="8"/>
        <v>0</v>
      </c>
      <c r="J36" s="4">
        <f t="shared" si="8"/>
        <v>0</v>
      </c>
      <c r="K36" s="4">
        <f t="shared" si="8"/>
        <v>3.5269709543568471E-2</v>
      </c>
      <c r="L36" s="4">
        <f t="shared" si="8"/>
        <v>0.14210478525379097</v>
      </c>
      <c r="M36" s="4">
        <f t="shared" si="8"/>
        <v>0.19728200793289552</v>
      </c>
      <c r="N36" s="4">
        <f t="shared" si="8"/>
        <v>7.8485894963448002E-2</v>
      </c>
      <c r="O36" s="4">
        <f t="shared" si="8"/>
        <v>8.8426921010209561E-2</v>
      </c>
      <c r="P36" s="4">
        <f t="shared" si="8"/>
        <v>0</v>
      </c>
      <c r="Q36" s="4">
        <f t="shared" si="8"/>
        <v>0</v>
      </c>
      <c r="R36" s="4">
        <f t="shared" si="8"/>
        <v>0</v>
      </c>
      <c r="S36" s="4">
        <f t="shared" si="8"/>
        <v>0</v>
      </c>
      <c r="T36" s="4">
        <f t="shared" si="8"/>
        <v>0</v>
      </c>
    </row>
    <row r="37" spans="3:20" x14ac:dyDescent="0.3">
      <c r="C37" t="s">
        <v>54</v>
      </c>
      <c r="D37" s="4">
        <f>IFERROR(D$8/D$10,0)</f>
        <v>0</v>
      </c>
      <c r="E37" s="4">
        <f t="shared" ref="E37:T37" si="9">IFERROR(E$8/E$10,0)</f>
        <v>0</v>
      </c>
      <c r="F37" s="4">
        <f t="shared" si="9"/>
        <v>9.5356037151702794E-2</v>
      </c>
      <c r="G37" s="4">
        <f t="shared" si="9"/>
        <v>8.2127031019202351E-2</v>
      </c>
      <c r="H37" s="4">
        <f t="shared" si="9"/>
        <v>0.14126394052044611</v>
      </c>
      <c r="I37" s="4">
        <f t="shared" si="9"/>
        <v>8.9467005076142136E-2</v>
      </c>
      <c r="J37" s="4">
        <f t="shared" si="9"/>
        <v>0.22727272727272727</v>
      </c>
      <c r="K37" s="4">
        <f t="shared" si="9"/>
        <v>0.20124481327800833</v>
      </c>
      <c r="L37" s="4">
        <f t="shared" si="9"/>
        <v>9.7702714973213464E-2</v>
      </c>
      <c r="M37" s="4">
        <f t="shared" si="9"/>
        <v>7.5232459847844463E-2</v>
      </c>
      <c r="N37" s="4">
        <f t="shared" si="9"/>
        <v>0.15275597614028794</v>
      </c>
      <c r="O37" s="4">
        <f t="shared" si="9"/>
        <v>7.8653949489521771E-2</v>
      </c>
      <c r="P37" s="4">
        <f t="shared" si="9"/>
        <v>0</v>
      </c>
      <c r="Q37" s="4">
        <f t="shared" si="9"/>
        <v>0</v>
      </c>
      <c r="R37" s="4">
        <f t="shared" si="9"/>
        <v>0</v>
      </c>
      <c r="S37" s="4">
        <f t="shared" si="9"/>
        <v>0</v>
      </c>
      <c r="T37" s="4">
        <f t="shared" si="9"/>
        <v>0</v>
      </c>
    </row>
    <row r="40" spans="3:20" x14ac:dyDescent="0.3">
      <c r="C40" t="s">
        <v>59</v>
      </c>
      <c r="D40" s="4">
        <f>IFERROR(D$14/D$22,0)</f>
        <v>0</v>
      </c>
      <c r="E40" s="4">
        <f t="shared" ref="E40:T40" si="10">IFERROR(E$14/E$22,0)</f>
        <v>0</v>
      </c>
      <c r="F40" s="4">
        <f t="shared" si="10"/>
        <v>0.41455108359133125</v>
      </c>
      <c r="G40" s="4">
        <f t="shared" si="10"/>
        <v>0.39290989660265879</v>
      </c>
      <c r="H40" s="4">
        <f t="shared" si="10"/>
        <v>0.28113382899628253</v>
      </c>
      <c r="I40" s="4">
        <f t="shared" si="10"/>
        <v>0.24661590524534688</v>
      </c>
      <c r="J40" s="4">
        <f t="shared" si="10"/>
        <v>0.2126196172248804</v>
      </c>
      <c r="K40" s="4">
        <f t="shared" si="10"/>
        <v>0.18476256339326882</v>
      </c>
      <c r="L40" s="4">
        <f t="shared" si="10"/>
        <v>0.22428039589575954</v>
      </c>
      <c r="M40" s="4">
        <f t="shared" si="10"/>
        <v>0.16607061577475779</v>
      </c>
      <c r="N40" s="4">
        <f t="shared" si="10"/>
        <v>0.19809839888774275</v>
      </c>
      <c r="O40" s="4">
        <f t="shared" si="10"/>
        <v>0.31901531434712521</v>
      </c>
      <c r="P40" s="4">
        <f t="shared" si="10"/>
        <v>0</v>
      </c>
      <c r="Q40" s="4">
        <f t="shared" si="10"/>
        <v>0</v>
      </c>
      <c r="R40" s="4">
        <f t="shared" si="10"/>
        <v>0</v>
      </c>
      <c r="S40" s="4">
        <f t="shared" si="10"/>
        <v>0</v>
      </c>
      <c r="T40" s="4">
        <f t="shared" si="10"/>
        <v>0</v>
      </c>
    </row>
    <row r="41" spans="3:20" x14ac:dyDescent="0.3">
      <c r="C41" t="s">
        <v>60</v>
      </c>
      <c r="D41" s="4">
        <f>IFERROR(D$15/D$22,0)</f>
        <v>0</v>
      </c>
      <c r="E41" s="4">
        <f t="shared" ref="E41:T41" si="11">IFERROR(E$15/E$22,0)</f>
        <v>0</v>
      </c>
      <c r="F41" s="4">
        <f t="shared" si="11"/>
        <v>0</v>
      </c>
      <c r="G41" s="4">
        <f t="shared" si="11"/>
        <v>0</v>
      </c>
      <c r="H41" s="4">
        <f t="shared" si="11"/>
        <v>0</v>
      </c>
      <c r="I41" s="4">
        <f t="shared" si="11"/>
        <v>1.6920473773265651E-3</v>
      </c>
      <c r="J41" s="4">
        <f t="shared" si="11"/>
        <v>0</v>
      </c>
      <c r="K41" s="4">
        <f t="shared" si="11"/>
        <v>8.5292761641309368E-3</v>
      </c>
      <c r="L41" s="4">
        <f t="shared" si="11"/>
        <v>6.3652047580132556E-2</v>
      </c>
      <c r="M41" s="4">
        <f t="shared" si="11"/>
        <v>5.6310553351973477E-2</v>
      </c>
      <c r="N41" s="4">
        <f t="shared" si="11"/>
        <v>7.1399739875319557E-2</v>
      </c>
      <c r="O41" s="4">
        <f t="shared" si="11"/>
        <v>1.5247178936055884E-2</v>
      </c>
      <c r="P41" s="4">
        <f t="shared" si="11"/>
        <v>0</v>
      </c>
      <c r="Q41" s="4">
        <f t="shared" si="11"/>
        <v>0</v>
      </c>
      <c r="R41" s="4">
        <f t="shared" si="11"/>
        <v>0</v>
      </c>
      <c r="S41" s="4">
        <f t="shared" si="11"/>
        <v>0</v>
      </c>
      <c r="T41" s="4">
        <f t="shared" si="11"/>
        <v>0</v>
      </c>
    </row>
    <row r="42" spans="3:20" x14ac:dyDescent="0.3">
      <c r="C42" t="s">
        <v>61</v>
      </c>
      <c r="D42" s="4">
        <f>IFERROR(D$17/D$22,0)</f>
        <v>0</v>
      </c>
      <c r="E42" s="4">
        <f t="shared" ref="E42:T42" si="12">IFERROR(E$17/E$22,0)</f>
        <v>0</v>
      </c>
      <c r="F42" s="4">
        <f t="shared" si="12"/>
        <v>0.12662538699690401</v>
      </c>
      <c r="G42" s="4">
        <f t="shared" si="12"/>
        <v>0.28419497784342684</v>
      </c>
      <c r="H42" s="4">
        <f t="shared" si="12"/>
        <v>0.20724907063197026</v>
      </c>
      <c r="I42" s="4">
        <f t="shared" si="12"/>
        <v>0.40736040609137059</v>
      </c>
      <c r="J42" s="4">
        <f t="shared" si="12"/>
        <v>0.44333133971291866</v>
      </c>
      <c r="K42" s="4">
        <f t="shared" si="12"/>
        <v>0.15133702166897189</v>
      </c>
      <c r="L42" s="4">
        <f t="shared" si="12"/>
        <v>0.32833923544901472</v>
      </c>
      <c r="M42" s="4">
        <f t="shared" si="12"/>
        <v>0.25840431757591525</v>
      </c>
      <c r="N42" s="4">
        <f t="shared" si="12"/>
        <v>0.28748262098040095</v>
      </c>
      <c r="O42" s="4">
        <f t="shared" si="12"/>
        <v>0.23874932831810855</v>
      </c>
      <c r="P42" s="4">
        <f t="shared" si="12"/>
        <v>0</v>
      </c>
      <c r="Q42" s="4">
        <f t="shared" si="12"/>
        <v>0</v>
      </c>
      <c r="R42" s="4">
        <f t="shared" si="12"/>
        <v>0</v>
      </c>
      <c r="S42" s="4">
        <f t="shared" si="12"/>
        <v>0</v>
      </c>
      <c r="T42" s="4">
        <f t="shared" si="12"/>
        <v>0</v>
      </c>
    </row>
    <row r="43" spans="3:20" x14ac:dyDescent="0.3">
      <c r="C43" t="s">
        <v>62</v>
      </c>
      <c r="D43" s="4">
        <f>IFERROR(D$18/D$22,0)</f>
        <v>0</v>
      </c>
      <c r="E43" s="4">
        <f t="shared" ref="E43:T43" si="13">IFERROR(E$18/E$22,0)</f>
        <v>0</v>
      </c>
      <c r="F43" s="4">
        <f t="shared" si="13"/>
        <v>0.38513931888544883</v>
      </c>
      <c r="G43" s="4">
        <f t="shared" si="13"/>
        <v>0.2274741506646972</v>
      </c>
      <c r="H43" s="4">
        <f t="shared" si="13"/>
        <v>0.15497211895910781</v>
      </c>
      <c r="I43" s="4">
        <f t="shared" si="13"/>
        <v>5.1607445008460234E-2</v>
      </c>
      <c r="J43" s="4">
        <f t="shared" si="13"/>
        <v>7.6106459330143539E-2</v>
      </c>
      <c r="K43" s="4">
        <f t="shared" si="13"/>
        <v>2.89303826648225E-2</v>
      </c>
      <c r="L43" s="4">
        <f t="shared" si="13"/>
        <v>0.15145736856442385</v>
      </c>
      <c r="M43" s="4">
        <f t="shared" si="13"/>
        <v>0.2872748553221926</v>
      </c>
      <c r="N43" s="4">
        <f t="shared" si="13"/>
        <v>0.205498497555725</v>
      </c>
      <c r="O43" s="4">
        <f t="shared" si="13"/>
        <v>0.20160531972058035</v>
      </c>
      <c r="P43" s="4">
        <f t="shared" si="13"/>
        <v>0</v>
      </c>
      <c r="Q43" s="4">
        <f t="shared" si="13"/>
        <v>0</v>
      </c>
      <c r="R43" s="4">
        <f t="shared" si="13"/>
        <v>0</v>
      </c>
      <c r="S43" s="4">
        <f t="shared" si="13"/>
        <v>0</v>
      </c>
      <c r="T43" s="4">
        <f t="shared" si="13"/>
        <v>0</v>
      </c>
    </row>
    <row r="44" spans="3:20" x14ac:dyDescent="0.3">
      <c r="C44" t="s">
        <v>63</v>
      </c>
      <c r="D44" s="4">
        <f>IFERROR(D$19/D$22,0)</f>
        <v>0</v>
      </c>
      <c r="E44" s="4">
        <f t="shared" ref="E44:T44" si="14">IFERROR(E$19/E$22,0)</f>
        <v>0</v>
      </c>
      <c r="F44" s="4">
        <f t="shared" si="14"/>
        <v>1.3931888544891639E-2</v>
      </c>
      <c r="G44" s="4">
        <f t="shared" si="14"/>
        <v>9.4534711964549475E-3</v>
      </c>
      <c r="H44" s="4">
        <f t="shared" si="14"/>
        <v>0.25464684014869893</v>
      </c>
      <c r="I44" s="4">
        <f t="shared" si="14"/>
        <v>0.21362098138747884</v>
      </c>
      <c r="J44" s="4">
        <f t="shared" si="14"/>
        <v>0.11842105263157895</v>
      </c>
      <c r="K44" s="4">
        <f t="shared" si="14"/>
        <v>0.49527431996311666</v>
      </c>
      <c r="L44" s="4">
        <f t="shared" si="14"/>
        <v>7.4457459366203569E-3</v>
      </c>
      <c r="M44" s="4">
        <f t="shared" si="14"/>
        <v>6.5673970999414787E-3</v>
      </c>
      <c r="N44" s="4">
        <f t="shared" si="14"/>
        <v>5.5074673722922365E-2</v>
      </c>
      <c r="O44" s="4">
        <f t="shared" si="14"/>
        <v>2.5725416442772705E-2</v>
      </c>
      <c r="P44" s="4">
        <f t="shared" si="14"/>
        <v>0</v>
      </c>
      <c r="Q44" s="4">
        <f t="shared" si="14"/>
        <v>0</v>
      </c>
      <c r="R44" s="4">
        <f t="shared" si="14"/>
        <v>0</v>
      </c>
      <c r="S44" s="4">
        <f t="shared" si="14"/>
        <v>0</v>
      </c>
      <c r="T44" s="4">
        <f t="shared" si="14"/>
        <v>0</v>
      </c>
    </row>
    <row r="45" spans="3:20" x14ac:dyDescent="0.3">
      <c r="C45" t="s">
        <v>64</v>
      </c>
      <c r="D45" s="4">
        <f>IFERROR(D$20/D$22,0)</f>
        <v>0</v>
      </c>
      <c r="E45" s="4">
        <f t="shared" ref="E45:T45" si="15">IFERROR(E$20/E$22,0)</f>
        <v>0</v>
      </c>
      <c r="F45" s="4">
        <f t="shared" si="15"/>
        <v>5.9752321981424168E-2</v>
      </c>
      <c r="G45" s="4">
        <f t="shared" si="15"/>
        <v>8.5967503692762223E-2</v>
      </c>
      <c r="H45" s="4">
        <f t="shared" si="15"/>
        <v>0.10199814126394058</v>
      </c>
      <c r="I45" s="4">
        <f t="shared" si="15"/>
        <v>7.9103214890016885E-2</v>
      </c>
      <c r="J45" s="4">
        <f t="shared" si="15"/>
        <v>0.14952153110047844</v>
      </c>
      <c r="K45" s="4">
        <f t="shared" si="15"/>
        <v>0.13116643614568921</v>
      </c>
      <c r="L45" s="4">
        <f t="shared" si="15"/>
        <v>0.17942431671660766</v>
      </c>
      <c r="M45" s="4">
        <f t="shared" si="15"/>
        <v>0.14896937382144479</v>
      </c>
      <c r="N45" s="4">
        <f t="shared" si="15"/>
        <v>0.1062026281562542</v>
      </c>
      <c r="O45" s="4">
        <f t="shared" si="15"/>
        <v>9.8905158516926342E-2</v>
      </c>
      <c r="P45" s="4">
        <f t="shared" si="15"/>
        <v>0</v>
      </c>
      <c r="Q45" s="4">
        <f t="shared" si="15"/>
        <v>0</v>
      </c>
      <c r="R45" s="4">
        <f t="shared" si="15"/>
        <v>0</v>
      </c>
      <c r="S45" s="4">
        <f t="shared" si="15"/>
        <v>0</v>
      </c>
      <c r="T45" s="4">
        <f t="shared" si="15"/>
        <v>0</v>
      </c>
    </row>
    <row r="46" spans="3:20" x14ac:dyDescent="0.3">
      <c r="C46" t="s">
        <v>114</v>
      </c>
      <c r="D46" s="4">
        <f>IFERROR(D$16/D$22,0)</f>
        <v>0</v>
      </c>
      <c r="E46" s="4">
        <f t="shared" ref="E46:T46" si="16">IFERROR(E$16/E$22,0)</f>
        <v>0</v>
      </c>
      <c r="F46" s="4">
        <f t="shared" si="16"/>
        <v>0</v>
      </c>
      <c r="G46" s="4">
        <f t="shared" si="16"/>
        <v>0</v>
      </c>
      <c r="H46" s="4">
        <f t="shared" si="16"/>
        <v>0</v>
      </c>
      <c r="I46" s="4">
        <f t="shared" si="16"/>
        <v>0</v>
      </c>
      <c r="J46" s="4">
        <f t="shared" si="16"/>
        <v>0</v>
      </c>
      <c r="K46" s="4">
        <f t="shared" si="16"/>
        <v>0</v>
      </c>
      <c r="L46" s="4">
        <f t="shared" si="16"/>
        <v>4.5400889857441201E-2</v>
      </c>
      <c r="M46" s="4">
        <f t="shared" si="16"/>
        <v>7.6402887053774626E-2</v>
      </c>
      <c r="N46" s="4">
        <f t="shared" si="16"/>
        <v>7.62434408216352E-2</v>
      </c>
      <c r="O46" s="4">
        <f t="shared" si="16"/>
        <v>0.10075228371843095</v>
      </c>
      <c r="P46" s="4">
        <f t="shared" si="16"/>
        <v>0</v>
      </c>
      <c r="Q46" s="4">
        <f t="shared" si="16"/>
        <v>0</v>
      </c>
      <c r="R46" s="4">
        <f t="shared" si="16"/>
        <v>0</v>
      </c>
      <c r="S46" s="4">
        <f t="shared" si="16"/>
        <v>0</v>
      </c>
      <c r="T46" s="4">
        <f t="shared" si="16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FCED-FF30-4ED4-97A1-227455BB39AA}">
  <dimension ref="A1:E7"/>
  <sheetViews>
    <sheetView workbookViewId="0">
      <selection activeCell="B1" sqref="B1:E7"/>
    </sheetView>
  </sheetViews>
  <sheetFormatPr defaultRowHeight="14.4" x14ac:dyDescent="0.3"/>
  <cols>
    <col min="2" max="2" width="21.77734375" bestFit="1" customWidth="1"/>
    <col min="4" max="4" width="19.44140625" bestFit="1" customWidth="1"/>
    <col min="5" max="5" width="19.88671875" bestFit="1" customWidth="1"/>
    <col min="6" max="6" width="17.33203125" bestFit="1" customWidth="1"/>
  </cols>
  <sheetData>
    <row r="1" spans="1:5" x14ac:dyDescent="0.3">
      <c r="C1" t="s">
        <v>144</v>
      </c>
      <c r="D1" t="s">
        <v>145</v>
      </c>
      <c r="E1" t="s">
        <v>143</v>
      </c>
    </row>
    <row r="2" spans="1:5" x14ac:dyDescent="0.3">
      <c r="A2" t="s">
        <v>137</v>
      </c>
      <c r="B2">
        <v>10</v>
      </c>
      <c r="C2">
        <v>0</v>
      </c>
      <c r="D2">
        <v>20</v>
      </c>
      <c r="E2">
        <v>0</v>
      </c>
    </row>
    <row r="3" spans="1:5" x14ac:dyDescent="0.3">
      <c r="A3" t="s">
        <v>138</v>
      </c>
      <c r="B3">
        <v>15</v>
      </c>
      <c r="C3">
        <v>10</v>
      </c>
      <c r="D3">
        <v>25</v>
      </c>
      <c r="E3">
        <v>0</v>
      </c>
    </row>
    <row r="4" spans="1:5" x14ac:dyDescent="0.3">
      <c r="A4" t="s">
        <v>139</v>
      </c>
      <c r="B4">
        <v>25</v>
      </c>
    </row>
    <row r="5" spans="1:5" x14ac:dyDescent="0.3">
      <c r="A5" t="s">
        <v>140</v>
      </c>
      <c r="B5">
        <v>12</v>
      </c>
    </row>
    <row r="6" spans="1:5" x14ac:dyDescent="0.3">
      <c r="A6" t="s">
        <v>141</v>
      </c>
      <c r="B6">
        <v>3</v>
      </c>
    </row>
    <row r="7" spans="1:5" x14ac:dyDescent="0.3">
      <c r="A7" t="s">
        <v>142</v>
      </c>
      <c r="B7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B8B46-C0F2-4FA9-A26F-743A5F4F6281}">
  <dimension ref="C2:C15"/>
  <sheetViews>
    <sheetView workbookViewId="0">
      <selection activeCell="C14" sqref="C14"/>
    </sheetView>
  </sheetViews>
  <sheetFormatPr defaultRowHeight="14.4" x14ac:dyDescent="0.3"/>
  <cols>
    <col min="1" max="1" width="3.44140625" customWidth="1"/>
    <col min="2" max="2" width="3.5546875" customWidth="1"/>
    <col min="3" max="3" width="36.21875" bestFit="1" customWidth="1"/>
  </cols>
  <sheetData>
    <row r="2" spans="3:3" x14ac:dyDescent="0.3">
      <c r="C2" t="s">
        <v>84</v>
      </c>
    </row>
    <row r="3" spans="3:3" x14ac:dyDescent="0.3">
      <c r="C3" t="s">
        <v>85</v>
      </c>
    </row>
    <row r="4" spans="3:3" x14ac:dyDescent="0.3">
      <c r="C4" t="s">
        <v>61</v>
      </c>
    </row>
    <row r="5" spans="3:3" x14ac:dyDescent="0.3">
      <c r="C5" t="s">
        <v>86</v>
      </c>
    </row>
    <row r="6" spans="3:3" x14ac:dyDescent="0.3">
      <c r="C6" t="s">
        <v>87</v>
      </c>
    </row>
    <row r="7" spans="3:3" x14ac:dyDescent="0.3">
      <c r="C7" t="s">
        <v>88</v>
      </c>
    </row>
    <row r="12" spans="3:3" x14ac:dyDescent="0.3">
      <c r="C12" t="s">
        <v>78</v>
      </c>
    </row>
    <row r="13" spans="3:3" x14ac:dyDescent="0.3">
      <c r="C13" t="s">
        <v>79</v>
      </c>
    </row>
    <row r="14" spans="3:3" x14ac:dyDescent="0.3">
      <c r="C14" t="s">
        <v>80</v>
      </c>
    </row>
    <row r="15" spans="3:3" x14ac:dyDescent="0.3">
      <c r="C15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8960-E860-413C-B05C-F45A95EF0328}">
  <dimension ref="A2:R17"/>
  <sheetViews>
    <sheetView workbookViewId="0">
      <selection activeCell="D3" sqref="D3"/>
    </sheetView>
  </sheetViews>
  <sheetFormatPr defaultRowHeight="14.4" x14ac:dyDescent="0.3"/>
  <cols>
    <col min="1" max="1" width="51.6640625" bestFit="1" customWidth="1"/>
  </cols>
  <sheetData>
    <row r="2" spans="1:18" x14ac:dyDescent="0.3">
      <c r="B2" s="2">
        <v>2014</v>
      </c>
      <c r="C2" s="2">
        <v>2015</v>
      </c>
      <c r="D2" s="2">
        <v>2016</v>
      </c>
      <c r="E2" s="2">
        <v>2017</v>
      </c>
      <c r="F2" s="2">
        <v>2018</v>
      </c>
      <c r="G2" s="2">
        <v>2019</v>
      </c>
      <c r="H2" s="2">
        <v>2020</v>
      </c>
      <c r="I2" s="2">
        <v>2021</v>
      </c>
      <c r="J2" s="2">
        <v>2022</v>
      </c>
      <c r="K2" s="2">
        <v>2023</v>
      </c>
      <c r="L2" s="2">
        <v>2024</v>
      </c>
      <c r="M2" s="2">
        <v>2025</v>
      </c>
      <c r="N2" s="2">
        <v>2026</v>
      </c>
      <c r="O2" s="2">
        <v>2027</v>
      </c>
      <c r="P2" s="2">
        <v>2028</v>
      </c>
      <c r="Q2" s="2">
        <v>2029</v>
      </c>
      <c r="R2" s="2">
        <v>20230</v>
      </c>
    </row>
    <row r="3" spans="1:18" x14ac:dyDescent="0.3">
      <c r="A3" t="s">
        <v>70</v>
      </c>
      <c r="B3">
        <f>IFERROR('P&amp;L Analysis'!D$6/(BS!D$14+BS!D$15),0)</f>
        <v>0</v>
      </c>
      <c r="C3">
        <f>IFERROR('P&amp;L Analysis'!E$6/(BS!E$14+BS!E$15),0)</f>
        <v>0</v>
      </c>
      <c r="D3">
        <f>IFERROR('P&amp;L Analysis'!F$6/(BS!F$14+BS!F$15),0)</f>
        <v>1.8394324122479462</v>
      </c>
      <c r="E3">
        <f>IFERROR('P&amp;L Analysis'!G$6/(BS!G$14+BS!G$15),0)</f>
        <v>2.5248120300751875</v>
      </c>
      <c r="F3">
        <f>IFERROR('P&amp;L Analysis'!H$6/(BS!H$14+BS!H$15),0)</f>
        <v>4.2727272727272734</v>
      </c>
      <c r="G3">
        <f>IFERROR('P&amp;L Analysis'!I$6/(BS!I$14+BS!I$15),0)</f>
        <v>4.302385008517887</v>
      </c>
      <c r="H3">
        <f>IFERROR('P&amp;L Analysis'!J$6/(BS!J$14+BS!J$15),0)</f>
        <v>3.6511954992967652</v>
      </c>
      <c r="I3">
        <f>IFERROR('P&amp;L Analysis'!K$6/(BS!K$14+BS!K$15),0)</f>
        <v>4.6326774001192605</v>
      </c>
      <c r="J3">
        <f>IFERROR('P&amp;L Analysis'!L$6/(BS!L$14+BS!L$15),0)</f>
        <v>3.3093661305581832</v>
      </c>
      <c r="K3">
        <f>IFERROR('P&amp;L Analysis'!M$6/(BS!M$14+BS!M$15),0)</f>
        <v>4.5105263157894733</v>
      </c>
      <c r="L3">
        <f>IFERROR('P&amp;L Analysis'!N$6/(BS!N$14+BS!N$15),0)</f>
        <v>3.7264103844233647</v>
      </c>
      <c r="M3">
        <f>IFERROR('P&amp;L Analysis'!O$6/(BS!O$14+BS!O$15),0)</f>
        <v>2.4965337084296189</v>
      </c>
      <c r="N3">
        <f>IFERROR('P&amp;L Analysis'!P$6/(BS!P$14+BS!P$15),0)</f>
        <v>0</v>
      </c>
      <c r="O3">
        <f>IFERROR('P&amp;L Analysis'!Q$6/(BS!Q$14+BS!Q$15),0)</f>
        <v>0</v>
      </c>
      <c r="P3">
        <f>IFERROR('P&amp;L Analysis'!R$6/(BS!R$14+BS!R$15),0)</f>
        <v>0</v>
      </c>
      <c r="Q3">
        <f>IFERROR('P&amp;L Analysis'!S$6/(BS!S$14+BS!S$15),0)</f>
        <v>0</v>
      </c>
      <c r="R3">
        <f>IFERROR('P&amp;L Analysis'!T$6/(BS!T$14+BS!T$15),0)</f>
        <v>0</v>
      </c>
    </row>
    <row r="4" spans="1:18" x14ac:dyDescent="0.3">
      <c r="A4" t="s">
        <v>71</v>
      </c>
    </row>
    <row r="5" spans="1:18" x14ac:dyDescent="0.3">
      <c r="A5" t="s">
        <v>72</v>
      </c>
    </row>
    <row r="6" spans="1:18" x14ac:dyDescent="0.3">
      <c r="A6" t="s">
        <v>73</v>
      </c>
    </row>
    <row r="7" spans="1:18" x14ac:dyDescent="0.3">
      <c r="A7" t="s">
        <v>74</v>
      </c>
    </row>
    <row r="8" spans="1:18" x14ac:dyDescent="0.3">
      <c r="A8" t="s">
        <v>75</v>
      </c>
    </row>
    <row r="9" spans="1:18" x14ac:dyDescent="0.3">
      <c r="A9" t="s">
        <v>76</v>
      </c>
    </row>
    <row r="10" spans="1:18" x14ac:dyDescent="0.3">
      <c r="A10" t="s">
        <v>77</v>
      </c>
    </row>
    <row r="11" spans="1:18" x14ac:dyDescent="0.3">
      <c r="A11" t="s">
        <v>78</v>
      </c>
    </row>
    <row r="12" spans="1:18" x14ac:dyDescent="0.3">
      <c r="A12" t="s">
        <v>79</v>
      </c>
    </row>
    <row r="13" spans="1:18" x14ac:dyDescent="0.3">
      <c r="A13" t="s">
        <v>80</v>
      </c>
    </row>
    <row r="14" spans="1:18" x14ac:dyDescent="0.3">
      <c r="A14" t="s">
        <v>81</v>
      </c>
    </row>
    <row r="16" spans="1:18" x14ac:dyDescent="0.3">
      <c r="A16" t="s">
        <v>82</v>
      </c>
    </row>
    <row r="17" spans="1:1" x14ac:dyDescent="0.3">
      <c r="A17" t="s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DDE6-07B7-4320-BA6D-95989A12DA7D}">
  <dimension ref="B3:D8"/>
  <sheetViews>
    <sheetView workbookViewId="0">
      <selection activeCell="D13" sqref="D13"/>
    </sheetView>
  </sheetViews>
  <sheetFormatPr defaultRowHeight="14.4" x14ac:dyDescent="0.3"/>
  <cols>
    <col min="2" max="2" width="17.21875" bestFit="1" customWidth="1"/>
    <col min="3" max="3" width="13.109375" bestFit="1" customWidth="1"/>
  </cols>
  <sheetData>
    <row r="3" spans="2:4" x14ac:dyDescent="0.3">
      <c r="B3" t="s">
        <v>38</v>
      </c>
      <c r="C3" t="s">
        <v>39</v>
      </c>
      <c r="D3" t="s">
        <v>40</v>
      </c>
    </row>
    <row r="4" spans="2:4" x14ac:dyDescent="0.3">
      <c r="C4" t="s">
        <v>41</v>
      </c>
    </row>
    <row r="5" spans="2:4" x14ac:dyDescent="0.3">
      <c r="C5" t="s">
        <v>1</v>
      </c>
    </row>
    <row r="7" spans="2:4" x14ac:dyDescent="0.3">
      <c r="B7" t="s">
        <v>42</v>
      </c>
      <c r="C7" t="s">
        <v>43</v>
      </c>
    </row>
    <row r="8" spans="2:4" x14ac:dyDescent="0.3">
      <c r="C8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D864-2185-47A6-9B01-419482344C56}">
  <dimension ref="A1:K93"/>
  <sheetViews>
    <sheetView workbookViewId="0">
      <pane xSplit="1" ySplit="1" topLeftCell="B13" activePane="bottomRight" state="frozen"/>
      <selection activeCell="C4" sqref="C4"/>
      <selection pane="topRight" activeCell="C4" sqref="C4"/>
      <selection pane="bottomLeft" activeCell="C4" sqref="C4"/>
      <selection pane="bottomRight" activeCell="A26" sqref="A26"/>
    </sheetView>
  </sheetViews>
  <sheetFormatPr defaultColWidth="9.109375" defaultRowHeight="14.4" x14ac:dyDescent="0.3"/>
  <cols>
    <col min="1" max="1" width="27.6640625" style="6" bestFit="1" customWidth="1"/>
    <col min="2" max="11" width="13.5546875" style="6" bestFit="1" customWidth="1"/>
    <col min="12" max="16384" width="9.109375" style="6"/>
  </cols>
  <sheetData>
    <row r="1" spans="1:11" s="5" customFormat="1" x14ac:dyDescent="0.3">
      <c r="A1" s="5" t="s">
        <v>92</v>
      </c>
      <c r="B1" s="5" t="s">
        <v>93</v>
      </c>
      <c r="E1" s="31" t="str">
        <f>IF(B2&lt;&gt;B3, "A NEW VERSION OF THE WORKSHEET IS AVAILABLE", "")</f>
        <v/>
      </c>
      <c r="F1" s="31"/>
      <c r="G1" s="31"/>
      <c r="H1" s="31"/>
      <c r="I1" s="31"/>
      <c r="J1" s="31"/>
      <c r="K1" s="31"/>
    </row>
    <row r="2" spans="1:11" x14ac:dyDescent="0.3">
      <c r="A2" s="5" t="s">
        <v>94</v>
      </c>
      <c r="B2" s="6">
        <v>2.1</v>
      </c>
      <c r="E2" s="32" t="s">
        <v>95</v>
      </c>
      <c r="F2" s="32"/>
      <c r="G2" s="32"/>
      <c r="H2" s="32"/>
      <c r="I2" s="32"/>
      <c r="J2" s="32"/>
      <c r="K2" s="32"/>
    </row>
    <row r="3" spans="1:11" x14ac:dyDescent="0.3">
      <c r="A3" s="5" t="s">
        <v>96</v>
      </c>
      <c r="B3" s="6">
        <v>2.1</v>
      </c>
    </row>
    <row r="4" spans="1:11" x14ac:dyDescent="0.3">
      <c r="A4" s="5"/>
    </row>
    <row r="5" spans="1:11" x14ac:dyDescent="0.3">
      <c r="A5" s="5" t="s">
        <v>97</v>
      </c>
    </row>
    <row r="6" spans="1:11" x14ac:dyDescent="0.3">
      <c r="A6" s="6" t="s">
        <v>98</v>
      </c>
      <c r="B6" s="6">
        <f>IF(B9&gt;0, B9/B8, 0)</f>
        <v>26.496303317535546</v>
      </c>
    </row>
    <row r="7" spans="1:11" x14ac:dyDescent="0.3">
      <c r="A7" s="6" t="s">
        <v>99</v>
      </c>
      <c r="B7" s="7">
        <v>2</v>
      </c>
    </row>
    <row r="8" spans="1:11" x14ac:dyDescent="0.3">
      <c r="A8" s="6" t="s">
        <v>100</v>
      </c>
      <c r="B8" s="7">
        <v>158.25</v>
      </c>
    </row>
    <row r="9" spans="1:11" x14ac:dyDescent="0.3">
      <c r="A9" s="6" t="s">
        <v>101</v>
      </c>
      <c r="B9" s="7">
        <v>4193.04</v>
      </c>
    </row>
    <row r="14" spans="1:11" x14ac:dyDescent="0.3">
      <c r="A14" s="6" t="s">
        <v>128</v>
      </c>
    </row>
    <row r="15" spans="1:11" x14ac:dyDescent="0.3">
      <c r="A15" s="5" t="s">
        <v>102</v>
      </c>
    </row>
    <row r="16" spans="1:11" s="10" customFormat="1" x14ac:dyDescent="0.3">
      <c r="A16" s="8" t="s">
        <v>103</v>
      </c>
      <c r="B16" s="9">
        <v>42460</v>
      </c>
      <c r="C16" s="9">
        <v>42825</v>
      </c>
      <c r="D16" s="9">
        <v>43190</v>
      </c>
      <c r="E16" s="9">
        <v>43555</v>
      </c>
      <c r="F16" s="9">
        <v>43921</v>
      </c>
      <c r="G16" s="9">
        <v>44286</v>
      </c>
      <c r="H16" s="9">
        <v>44651</v>
      </c>
      <c r="I16" s="9">
        <v>45016</v>
      </c>
      <c r="J16" s="9">
        <v>45382</v>
      </c>
      <c r="K16" s="9">
        <v>45747</v>
      </c>
    </row>
    <row r="17" spans="1:11" s="11" customFormat="1" x14ac:dyDescent="0.3">
      <c r="A17" s="11" t="s">
        <v>0</v>
      </c>
      <c r="B17" s="7">
        <v>24.63</v>
      </c>
      <c r="C17" s="7">
        <v>33.58</v>
      </c>
      <c r="D17" s="7">
        <v>51.7</v>
      </c>
      <c r="E17" s="7">
        <v>50.51</v>
      </c>
      <c r="F17" s="7">
        <v>51.92</v>
      </c>
      <c r="G17" s="7">
        <v>77.69</v>
      </c>
      <c r="H17" s="7">
        <v>104.94</v>
      </c>
      <c r="I17" s="7">
        <v>154.26</v>
      </c>
      <c r="J17" s="7">
        <v>223.92</v>
      </c>
      <c r="K17" s="7">
        <v>248.48</v>
      </c>
    </row>
    <row r="18" spans="1:11" s="11" customFormat="1" x14ac:dyDescent="0.3">
      <c r="A18" s="6" t="s">
        <v>104</v>
      </c>
      <c r="B18" s="13">
        <v>9.69</v>
      </c>
      <c r="C18" s="7">
        <v>10.02</v>
      </c>
      <c r="D18" s="7">
        <v>17.5</v>
      </c>
      <c r="E18" s="7">
        <v>11.3</v>
      </c>
      <c r="F18" s="7">
        <v>13.95</v>
      </c>
      <c r="G18" s="7">
        <v>26.57</v>
      </c>
      <c r="H18" s="7">
        <v>50.69</v>
      </c>
      <c r="I18" s="7">
        <v>76.58</v>
      </c>
      <c r="J18" s="7">
        <v>77.23</v>
      </c>
      <c r="K18" s="7">
        <v>83.22</v>
      </c>
    </row>
    <row r="19" spans="1:11" s="11" customFormat="1" x14ac:dyDescent="0.3">
      <c r="A19" s="6" t="s">
        <v>34</v>
      </c>
      <c r="B19" s="13">
        <v>1.45</v>
      </c>
      <c r="C19" s="7">
        <v>-4.7699999999999996</v>
      </c>
      <c r="D19" s="7">
        <v>-2.42</v>
      </c>
      <c r="E19" s="7">
        <v>-2.99</v>
      </c>
      <c r="F19" s="7">
        <v>0.59</v>
      </c>
      <c r="G19" s="7">
        <v>-0.42</v>
      </c>
      <c r="H19" s="7">
        <v>4</v>
      </c>
      <c r="I19" s="7">
        <v>13.82</v>
      </c>
      <c r="J19" s="7">
        <v>0.78</v>
      </c>
      <c r="K19" s="7">
        <v>19.809999999999999</v>
      </c>
    </row>
    <row r="20" spans="1:11" s="11" customFormat="1" x14ac:dyDescent="0.3">
      <c r="A20" s="6" t="s">
        <v>8</v>
      </c>
      <c r="B20" s="13">
        <v>0.32</v>
      </c>
      <c r="C20" s="7">
        <v>0.31</v>
      </c>
      <c r="D20" s="7">
        <v>0.43</v>
      </c>
      <c r="E20" s="7">
        <v>0.47</v>
      </c>
      <c r="F20" s="7">
        <v>0.43</v>
      </c>
      <c r="G20" s="7">
        <v>0.52</v>
      </c>
      <c r="H20" s="7">
        <v>0.56999999999999995</v>
      </c>
      <c r="I20" s="7">
        <v>0.82</v>
      </c>
      <c r="J20" s="7">
        <v>1.5</v>
      </c>
      <c r="K20" s="7">
        <v>2.2599999999999998</v>
      </c>
    </row>
    <row r="21" spans="1:11" s="11" customFormat="1" x14ac:dyDescent="0.3">
      <c r="A21" s="6" t="s">
        <v>9</v>
      </c>
      <c r="B21" s="13">
        <v>2.04</v>
      </c>
      <c r="C21" s="7">
        <v>2.06</v>
      </c>
      <c r="D21" s="7">
        <v>3.09</v>
      </c>
      <c r="E21" s="7">
        <v>4.9000000000000004</v>
      </c>
      <c r="F21" s="7">
        <v>5.14</v>
      </c>
      <c r="G21" s="7">
        <v>8.8800000000000008</v>
      </c>
      <c r="H21" s="7">
        <v>7.5</v>
      </c>
      <c r="I21" s="7">
        <v>12.47</v>
      </c>
      <c r="J21" s="7">
        <v>15.77</v>
      </c>
      <c r="K21" s="7">
        <v>20.52</v>
      </c>
    </row>
    <row r="22" spans="1:11" s="11" customFormat="1" x14ac:dyDescent="0.3">
      <c r="A22" s="6" t="s">
        <v>10</v>
      </c>
      <c r="B22" s="13">
        <v>4.1500000000000004</v>
      </c>
      <c r="C22" s="7">
        <v>4.8499999999999996</v>
      </c>
      <c r="D22" s="7">
        <v>7.83</v>
      </c>
      <c r="E22" s="7">
        <v>8.49</v>
      </c>
      <c r="F22" s="7">
        <v>10.1</v>
      </c>
      <c r="G22" s="7">
        <v>10.43</v>
      </c>
      <c r="H22" s="7">
        <v>13.15</v>
      </c>
      <c r="I22" s="7">
        <v>16.71</v>
      </c>
      <c r="J22" s="7">
        <v>34.200000000000003</v>
      </c>
      <c r="K22" s="7">
        <v>52.12</v>
      </c>
    </row>
    <row r="23" spans="1:11" s="11" customFormat="1" x14ac:dyDescent="0.3">
      <c r="A23" s="6" t="s">
        <v>11</v>
      </c>
      <c r="B23" s="13">
        <v>5.73</v>
      </c>
      <c r="C23" s="7">
        <v>7.36</v>
      </c>
      <c r="D23" s="7">
        <v>8.2799999999999994</v>
      </c>
      <c r="E23" s="7">
        <v>7.95</v>
      </c>
      <c r="F23" s="7">
        <v>7.09</v>
      </c>
      <c r="G23" s="7">
        <v>8.32</v>
      </c>
      <c r="H23" s="7">
        <v>8.77</v>
      </c>
      <c r="I23" s="7">
        <v>11.06</v>
      </c>
      <c r="J23" s="7">
        <v>8.52</v>
      </c>
      <c r="K23" s="7">
        <v>11.72</v>
      </c>
    </row>
    <row r="24" spans="1:11" s="11" customFormat="1" x14ac:dyDescent="0.3">
      <c r="A24" s="6" t="s">
        <v>12</v>
      </c>
      <c r="B24" s="13">
        <v>0.22</v>
      </c>
      <c r="C24" s="7">
        <v>0.35</v>
      </c>
      <c r="D24" s="7">
        <v>0.89</v>
      </c>
      <c r="E24" s="7">
        <v>0.19</v>
      </c>
      <c r="F24" s="7">
        <v>0.43</v>
      </c>
      <c r="G24" s="7">
        <v>0.38</v>
      </c>
      <c r="H24" s="7">
        <v>0.51</v>
      </c>
      <c r="I24" s="7">
        <v>0.96</v>
      </c>
      <c r="J24" s="7">
        <v>3.08</v>
      </c>
      <c r="K24" s="7">
        <v>3.06</v>
      </c>
    </row>
    <row r="25" spans="1:11" s="11" customFormat="1" x14ac:dyDescent="0.3">
      <c r="A25" s="11" t="s">
        <v>1</v>
      </c>
      <c r="B25" s="7">
        <v>0.4</v>
      </c>
      <c r="C25" s="7">
        <v>0.51</v>
      </c>
      <c r="D25" s="7">
        <v>15.44</v>
      </c>
      <c r="E25" s="7">
        <v>0.91</v>
      </c>
      <c r="F25" s="7">
        <v>1.2</v>
      </c>
      <c r="G25" s="7">
        <v>0.87</v>
      </c>
      <c r="H25" s="7">
        <v>1.37</v>
      </c>
      <c r="I25" s="7">
        <v>0.47</v>
      </c>
      <c r="J25" s="7">
        <v>1.3</v>
      </c>
      <c r="K25" s="7">
        <v>1.76</v>
      </c>
    </row>
    <row r="26" spans="1:11" s="11" customFormat="1" x14ac:dyDescent="0.3">
      <c r="A26" s="11" t="s">
        <v>20</v>
      </c>
      <c r="B26" s="13">
        <v>1.74</v>
      </c>
      <c r="C26" s="7">
        <v>1.79</v>
      </c>
      <c r="D26" s="7">
        <v>1.64</v>
      </c>
      <c r="E26" s="7">
        <v>2.0499999999999998</v>
      </c>
      <c r="F26" s="7">
        <v>2.71</v>
      </c>
      <c r="G26" s="7">
        <v>3.03</v>
      </c>
      <c r="H26" s="7">
        <v>3.97</v>
      </c>
      <c r="I26" s="7">
        <v>5.16</v>
      </c>
      <c r="J26" s="7">
        <v>7.06</v>
      </c>
      <c r="K26" s="7">
        <v>11.39</v>
      </c>
    </row>
    <row r="27" spans="1:11" s="11" customFormat="1" x14ac:dyDescent="0.3">
      <c r="A27" s="11" t="s">
        <v>21</v>
      </c>
      <c r="B27" s="13">
        <v>1.94</v>
      </c>
      <c r="C27" s="7">
        <v>1.52</v>
      </c>
      <c r="D27" s="7">
        <v>0.87</v>
      </c>
      <c r="E27" s="7">
        <v>0.57999999999999996</v>
      </c>
      <c r="F27" s="7">
        <v>0.85</v>
      </c>
      <c r="G27" s="7">
        <v>1.51</v>
      </c>
      <c r="H27" s="7">
        <v>1.51</v>
      </c>
      <c r="I27" s="7">
        <v>4.8600000000000003</v>
      </c>
      <c r="J27" s="7">
        <v>4.17</v>
      </c>
      <c r="K27" s="7">
        <v>3.04</v>
      </c>
    </row>
    <row r="28" spans="1:11" s="11" customFormat="1" x14ac:dyDescent="0.3">
      <c r="A28" s="11" t="s">
        <v>105</v>
      </c>
      <c r="B28" s="7">
        <v>0.65</v>
      </c>
      <c r="C28" s="7">
        <v>1.06</v>
      </c>
      <c r="D28" s="7">
        <v>24.19</v>
      </c>
      <c r="E28" s="7">
        <v>12.5</v>
      </c>
      <c r="F28" s="7">
        <v>13.01</v>
      </c>
      <c r="G28" s="7">
        <v>18.5</v>
      </c>
      <c r="H28" s="7">
        <v>23.64</v>
      </c>
      <c r="I28" s="7">
        <v>39.93</v>
      </c>
      <c r="J28" s="7">
        <v>74.47</v>
      </c>
      <c r="K28" s="7">
        <v>82.72</v>
      </c>
    </row>
    <row r="29" spans="1:11" s="11" customFormat="1" x14ac:dyDescent="0.3">
      <c r="A29" s="11" t="s">
        <v>26</v>
      </c>
      <c r="B29" s="7">
        <v>0.06</v>
      </c>
      <c r="C29" s="7">
        <v>0.17</v>
      </c>
      <c r="D29" s="7">
        <v>6.88</v>
      </c>
      <c r="E29" s="7">
        <v>2.91</v>
      </c>
      <c r="F29" s="7">
        <v>2.2599999999999998</v>
      </c>
      <c r="G29" s="7">
        <v>3.17</v>
      </c>
      <c r="H29" s="7">
        <v>4.46</v>
      </c>
      <c r="I29" s="7">
        <v>9.9</v>
      </c>
      <c r="J29" s="7">
        <v>19.02</v>
      </c>
      <c r="K29" s="7">
        <v>22.8</v>
      </c>
    </row>
    <row r="30" spans="1:11" s="11" customFormat="1" x14ac:dyDescent="0.3">
      <c r="A30" s="11" t="s">
        <v>106</v>
      </c>
      <c r="B30" s="7">
        <v>0.59</v>
      </c>
      <c r="C30" s="7">
        <v>0.88</v>
      </c>
      <c r="D30" s="7">
        <v>17.3</v>
      </c>
      <c r="E30" s="7">
        <v>9.59</v>
      </c>
      <c r="F30" s="7">
        <v>10.76</v>
      </c>
      <c r="G30" s="7">
        <v>15.33</v>
      </c>
      <c r="H30" s="7">
        <v>19.18</v>
      </c>
      <c r="I30" s="7">
        <v>30.04</v>
      </c>
      <c r="J30" s="7">
        <v>55.45</v>
      </c>
      <c r="K30" s="7">
        <v>59.92</v>
      </c>
    </row>
    <row r="31" spans="1:11" s="11" customFormat="1" x14ac:dyDescent="0.3">
      <c r="A31" s="11" t="s">
        <v>107</v>
      </c>
      <c r="B31" s="7">
        <v>0.41</v>
      </c>
      <c r="C31" s="7">
        <v>0.81</v>
      </c>
      <c r="D31" s="7">
        <v>1.62</v>
      </c>
      <c r="E31" s="7">
        <v>2.0299999999999998</v>
      </c>
      <c r="F31" s="7">
        <v>1.62</v>
      </c>
      <c r="G31" s="7">
        <v>1.62</v>
      </c>
      <c r="H31" s="7">
        <v>1.62</v>
      </c>
      <c r="I31" s="7">
        <v>1.62</v>
      </c>
      <c r="J31" s="7">
        <v>4.8600000000000003</v>
      </c>
      <c r="K31" s="7">
        <v>4.9000000000000004</v>
      </c>
    </row>
    <row r="32" spans="1:11" s="11" customFormat="1" x14ac:dyDescent="0.3"/>
    <row r="33" spans="1:11" x14ac:dyDescent="0.3">
      <c r="A33" s="11"/>
    </row>
    <row r="34" spans="1:11" x14ac:dyDescent="0.3">
      <c r="A34" s="11"/>
    </row>
    <row r="35" spans="1:11" x14ac:dyDescent="0.3">
      <c r="A35" s="11"/>
    </row>
    <row r="36" spans="1:11" x14ac:dyDescent="0.3">
      <c r="A36" s="11"/>
    </row>
    <row r="37" spans="1:11" x14ac:dyDescent="0.3">
      <c r="A37" s="11"/>
    </row>
    <row r="38" spans="1:11" x14ac:dyDescent="0.3">
      <c r="A38" s="11"/>
    </row>
    <row r="39" spans="1:11" x14ac:dyDescent="0.3">
      <c r="A39" s="11"/>
    </row>
    <row r="40" spans="1:11" x14ac:dyDescent="0.3">
      <c r="A40" s="5" t="s">
        <v>108</v>
      </c>
    </row>
    <row r="41" spans="1:11" s="10" customFormat="1" x14ac:dyDescent="0.3">
      <c r="A41" s="8" t="s">
        <v>103</v>
      </c>
      <c r="B41" s="9">
        <v>44926</v>
      </c>
      <c r="C41" s="9">
        <v>45016</v>
      </c>
      <c r="D41" s="9">
        <v>45107</v>
      </c>
      <c r="E41" s="9">
        <v>45199</v>
      </c>
      <c r="F41" s="9">
        <v>45291</v>
      </c>
      <c r="G41" s="9">
        <v>45382</v>
      </c>
      <c r="H41" s="9">
        <v>45473</v>
      </c>
      <c r="I41" s="9">
        <v>45565</v>
      </c>
      <c r="J41" s="9">
        <v>45657</v>
      </c>
      <c r="K41" s="9">
        <v>45747</v>
      </c>
    </row>
    <row r="42" spans="1:11" s="11" customFormat="1" x14ac:dyDescent="0.3">
      <c r="A42" s="11" t="s">
        <v>0</v>
      </c>
      <c r="B42" s="7">
        <v>38.68</v>
      </c>
      <c r="C42" s="7">
        <v>52.38</v>
      </c>
      <c r="D42" s="7">
        <v>68.900000000000006</v>
      </c>
      <c r="E42" s="7">
        <v>54.2</v>
      </c>
      <c r="F42" s="7">
        <v>59.1</v>
      </c>
      <c r="G42" s="7">
        <v>41.71</v>
      </c>
      <c r="H42" s="7">
        <v>51.65</v>
      </c>
      <c r="I42" s="7">
        <v>77.25</v>
      </c>
      <c r="J42" s="7">
        <v>70.44</v>
      </c>
      <c r="K42" s="7">
        <v>49.14</v>
      </c>
    </row>
    <row r="43" spans="1:11" s="11" customFormat="1" x14ac:dyDescent="0.3">
      <c r="A43" s="11" t="s">
        <v>109</v>
      </c>
      <c r="B43" s="7">
        <v>26.78</v>
      </c>
      <c r="C43" s="7">
        <v>33.44</v>
      </c>
      <c r="D43" s="7">
        <v>54.06</v>
      </c>
      <c r="E43" s="7">
        <v>28.69</v>
      </c>
      <c r="F43" s="7">
        <v>34.07</v>
      </c>
      <c r="G43" s="7">
        <v>22.68</v>
      </c>
      <c r="H43" s="7">
        <v>36.880000000000003</v>
      </c>
      <c r="I43" s="7">
        <v>41.98</v>
      </c>
      <c r="J43" s="7">
        <v>37.65</v>
      </c>
      <c r="K43" s="7">
        <v>36.590000000000003</v>
      </c>
    </row>
    <row r="44" spans="1:11" s="11" customFormat="1" x14ac:dyDescent="0.3">
      <c r="A44" s="11" t="s">
        <v>1</v>
      </c>
      <c r="B44" s="7">
        <v>0.28000000000000003</v>
      </c>
      <c r="C44" s="7">
        <v>0.09</v>
      </c>
      <c r="D44" s="7">
        <v>0.13</v>
      </c>
      <c r="E44" s="7">
        <v>0.37</v>
      </c>
      <c r="F44" s="7">
        <v>0.34</v>
      </c>
      <c r="G44" s="7">
        <v>0.46</v>
      </c>
      <c r="H44" s="7">
        <v>0.3</v>
      </c>
      <c r="I44" s="7">
        <v>0.49</v>
      </c>
      <c r="J44" s="7">
        <v>0.49</v>
      </c>
      <c r="K44" s="7">
        <v>0.48</v>
      </c>
    </row>
    <row r="45" spans="1:11" s="11" customFormat="1" x14ac:dyDescent="0.3">
      <c r="A45" s="11" t="s">
        <v>20</v>
      </c>
      <c r="B45" s="7">
        <v>1.35</v>
      </c>
      <c r="C45" s="7">
        <v>1.36</v>
      </c>
      <c r="D45" s="7">
        <v>1.4</v>
      </c>
      <c r="E45" s="7">
        <v>1.54</v>
      </c>
      <c r="F45" s="7">
        <v>1.75</v>
      </c>
      <c r="G45" s="7">
        <v>2.37</v>
      </c>
      <c r="H45" s="7">
        <v>2.77</v>
      </c>
      <c r="I45" s="7">
        <v>2.87</v>
      </c>
      <c r="J45" s="7">
        <v>2.95</v>
      </c>
      <c r="K45" s="7">
        <v>2.8</v>
      </c>
    </row>
    <row r="46" spans="1:11" s="11" customFormat="1" x14ac:dyDescent="0.3">
      <c r="A46" s="11" t="s">
        <v>21</v>
      </c>
      <c r="B46" s="7">
        <v>1.55</v>
      </c>
      <c r="C46" s="7">
        <v>1.51</v>
      </c>
      <c r="D46" s="7">
        <v>1.49</v>
      </c>
      <c r="E46" s="7">
        <v>1.51</v>
      </c>
      <c r="F46" s="7">
        <v>0.87</v>
      </c>
      <c r="G46" s="7">
        <v>0.3</v>
      </c>
      <c r="H46" s="7">
        <v>0.64</v>
      </c>
      <c r="I46" s="7">
        <v>0.72</v>
      </c>
      <c r="J46" s="7">
        <v>1.02</v>
      </c>
      <c r="K46" s="7">
        <v>0.66</v>
      </c>
    </row>
    <row r="47" spans="1:11" s="11" customFormat="1" x14ac:dyDescent="0.3">
      <c r="A47" s="11" t="s">
        <v>105</v>
      </c>
      <c r="B47" s="7">
        <v>9.2799999999999994</v>
      </c>
      <c r="C47" s="7">
        <v>16.16</v>
      </c>
      <c r="D47" s="7">
        <v>12.08</v>
      </c>
      <c r="E47" s="7">
        <v>22.83</v>
      </c>
      <c r="F47" s="7">
        <v>22.75</v>
      </c>
      <c r="G47" s="7">
        <v>16.82</v>
      </c>
      <c r="H47" s="7">
        <v>11.66</v>
      </c>
      <c r="I47" s="7">
        <v>32.17</v>
      </c>
      <c r="J47" s="7">
        <v>29.31</v>
      </c>
      <c r="K47" s="7">
        <v>9.57</v>
      </c>
    </row>
    <row r="48" spans="1:11" s="11" customFormat="1" x14ac:dyDescent="0.3">
      <c r="A48" s="11" t="s">
        <v>26</v>
      </c>
      <c r="B48" s="7">
        <v>1.73</v>
      </c>
      <c r="C48" s="7">
        <v>5.63</v>
      </c>
      <c r="D48" s="7">
        <v>3.39</v>
      </c>
      <c r="E48" s="7">
        <v>6.13</v>
      </c>
      <c r="F48" s="7">
        <v>5.77</v>
      </c>
      <c r="G48" s="7">
        <v>3.73</v>
      </c>
      <c r="H48" s="7">
        <v>3.58</v>
      </c>
      <c r="I48" s="7">
        <v>8.6</v>
      </c>
      <c r="J48" s="7">
        <v>8.4</v>
      </c>
      <c r="K48" s="7">
        <v>2.21</v>
      </c>
    </row>
    <row r="49" spans="1:11" s="11" customFormat="1" x14ac:dyDescent="0.3">
      <c r="A49" s="11" t="s">
        <v>106</v>
      </c>
      <c r="B49" s="7">
        <v>7.55</v>
      </c>
      <c r="C49" s="7">
        <v>10.54</v>
      </c>
      <c r="D49" s="7">
        <v>8.69</v>
      </c>
      <c r="E49" s="7">
        <v>16.71</v>
      </c>
      <c r="F49" s="7">
        <v>16.97</v>
      </c>
      <c r="G49" s="7">
        <v>13.08</v>
      </c>
      <c r="H49" s="7">
        <v>8.08</v>
      </c>
      <c r="I49" s="7">
        <v>23.57</v>
      </c>
      <c r="J49" s="7">
        <v>20.9</v>
      </c>
      <c r="K49" s="7">
        <v>7.36</v>
      </c>
    </row>
    <row r="50" spans="1:11" x14ac:dyDescent="0.3">
      <c r="A50" s="11" t="s">
        <v>110</v>
      </c>
      <c r="B50" s="7">
        <v>11.9</v>
      </c>
      <c r="C50" s="7">
        <v>18.940000000000001</v>
      </c>
      <c r="D50" s="7">
        <v>14.84</v>
      </c>
      <c r="E50" s="7">
        <v>25.51</v>
      </c>
      <c r="F50" s="7">
        <v>25.03</v>
      </c>
      <c r="G50" s="7">
        <v>19.03</v>
      </c>
      <c r="H50" s="7">
        <v>14.77</v>
      </c>
      <c r="I50" s="7">
        <v>35.270000000000003</v>
      </c>
      <c r="J50" s="7">
        <v>32.79</v>
      </c>
      <c r="K50" s="7">
        <v>12.55</v>
      </c>
    </row>
    <row r="51" spans="1:11" x14ac:dyDescent="0.3">
      <c r="A51" s="11"/>
    </row>
    <row r="52" spans="1:11" x14ac:dyDescent="0.3">
      <c r="A52" s="11"/>
    </row>
    <row r="53" spans="1:11" x14ac:dyDescent="0.3">
      <c r="A53" s="11"/>
    </row>
    <row r="54" spans="1:11" x14ac:dyDescent="0.3">
      <c r="A54" s="11"/>
    </row>
    <row r="55" spans="1:11" x14ac:dyDescent="0.3">
      <c r="A55" s="5" t="s">
        <v>111</v>
      </c>
    </row>
    <row r="56" spans="1:11" s="10" customFormat="1" x14ac:dyDescent="0.3">
      <c r="A56" s="8" t="s">
        <v>103</v>
      </c>
      <c r="B56" s="9">
        <v>42460</v>
      </c>
      <c r="C56" s="9">
        <v>42825</v>
      </c>
      <c r="D56" s="9">
        <v>43190</v>
      </c>
      <c r="E56" s="9">
        <v>43555</v>
      </c>
      <c r="F56" s="9">
        <v>43921</v>
      </c>
      <c r="G56" s="9">
        <v>44286</v>
      </c>
      <c r="H56" s="9">
        <v>44651</v>
      </c>
      <c r="I56" s="9">
        <v>45016</v>
      </c>
      <c r="J56" s="9">
        <v>45382</v>
      </c>
      <c r="K56" s="9">
        <v>45747</v>
      </c>
    </row>
    <row r="57" spans="1:11" x14ac:dyDescent="0.3">
      <c r="A57" s="11" t="s">
        <v>51</v>
      </c>
      <c r="B57" s="7">
        <v>4.0599999999999996</v>
      </c>
      <c r="C57" s="7">
        <v>4.0599999999999996</v>
      </c>
      <c r="D57" s="7">
        <v>4.0599999999999996</v>
      </c>
      <c r="E57" s="7">
        <v>4.0599999999999996</v>
      </c>
      <c r="F57" s="7">
        <v>4.0599999999999996</v>
      </c>
      <c r="G57" s="7">
        <v>4.0599999999999996</v>
      </c>
      <c r="H57" s="7">
        <v>4.0599999999999996</v>
      </c>
      <c r="I57" s="7">
        <v>16.22</v>
      </c>
      <c r="J57" s="7">
        <v>48.65</v>
      </c>
      <c r="K57" s="7">
        <v>48.95</v>
      </c>
    </row>
    <row r="58" spans="1:11" x14ac:dyDescent="0.3">
      <c r="A58" s="11" t="s">
        <v>52</v>
      </c>
      <c r="B58" s="7">
        <v>15.69</v>
      </c>
      <c r="C58" s="7">
        <v>16.57</v>
      </c>
      <c r="D58" s="7">
        <v>32.9</v>
      </c>
      <c r="E58" s="7">
        <v>38.99</v>
      </c>
      <c r="F58" s="7">
        <v>47.62</v>
      </c>
      <c r="G58" s="7">
        <v>62.18</v>
      </c>
      <c r="H58" s="7">
        <v>79.66</v>
      </c>
      <c r="I58" s="7">
        <v>95.66</v>
      </c>
      <c r="J58" s="7">
        <v>122.76</v>
      </c>
      <c r="K58" s="7">
        <v>199.06</v>
      </c>
    </row>
    <row r="59" spans="1:11" x14ac:dyDescent="0.3">
      <c r="A59" s="11" t="s">
        <v>53</v>
      </c>
      <c r="B59" s="7">
        <v>9.4700000000000006</v>
      </c>
      <c r="C59" s="7">
        <v>10.44</v>
      </c>
      <c r="D59" s="7"/>
      <c r="E59" s="7"/>
      <c r="F59" s="7"/>
      <c r="G59" s="7">
        <v>3.06</v>
      </c>
      <c r="H59" s="7">
        <v>15.65</v>
      </c>
      <c r="I59" s="7">
        <v>30.34</v>
      </c>
      <c r="J59" s="7">
        <v>17.5</v>
      </c>
      <c r="K59" s="7">
        <v>26.33</v>
      </c>
    </row>
    <row r="60" spans="1:11" x14ac:dyDescent="0.3">
      <c r="A60" s="11" t="s">
        <v>54</v>
      </c>
      <c r="B60" s="7">
        <v>3.08</v>
      </c>
      <c r="C60" s="7">
        <v>2.78</v>
      </c>
      <c r="D60" s="7">
        <v>6.08</v>
      </c>
      <c r="E60" s="7">
        <v>4.2300000000000004</v>
      </c>
      <c r="F60" s="7">
        <v>15.2</v>
      </c>
      <c r="G60" s="7">
        <v>17.46</v>
      </c>
      <c r="H60" s="7">
        <v>10.76</v>
      </c>
      <c r="I60" s="7">
        <v>11.57</v>
      </c>
      <c r="J60" s="7">
        <v>34.06</v>
      </c>
      <c r="K60" s="7">
        <v>23.42</v>
      </c>
    </row>
    <row r="61" spans="1:11" s="5" customFormat="1" x14ac:dyDescent="0.3">
      <c r="A61" s="5" t="s">
        <v>56</v>
      </c>
      <c r="B61" s="7">
        <v>32.299999999999997</v>
      </c>
      <c r="C61" s="7">
        <v>33.85</v>
      </c>
      <c r="D61" s="7">
        <v>43.04</v>
      </c>
      <c r="E61" s="7">
        <v>47.28</v>
      </c>
      <c r="F61" s="7">
        <v>66.88</v>
      </c>
      <c r="G61" s="7">
        <v>86.76</v>
      </c>
      <c r="H61" s="7">
        <v>110.13</v>
      </c>
      <c r="I61" s="13">
        <v>153.79</v>
      </c>
      <c r="J61" s="7">
        <v>222.97</v>
      </c>
      <c r="K61" s="7">
        <v>297.76</v>
      </c>
    </row>
    <row r="62" spans="1:11" x14ac:dyDescent="0.3">
      <c r="A62" s="11" t="s">
        <v>112</v>
      </c>
      <c r="B62" s="7">
        <v>13.39</v>
      </c>
      <c r="C62" s="7">
        <v>13.3</v>
      </c>
      <c r="D62" s="7">
        <v>12.1</v>
      </c>
      <c r="E62" s="7">
        <v>11.66</v>
      </c>
      <c r="F62" s="7">
        <v>14.22</v>
      </c>
      <c r="G62" s="7">
        <v>16.03</v>
      </c>
      <c r="H62" s="7">
        <v>24.7</v>
      </c>
      <c r="I62" s="7">
        <v>25.54</v>
      </c>
      <c r="J62" s="7">
        <v>44.17</v>
      </c>
      <c r="K62" s="7">
        <v>94.99</v>
      </c>
    </row>
    <row r="63" spans="1:11" x14ac:dyDescent="0.3">
      <c r="A63" s="11" t="s">
        <v>113</v>
      </c>
      <c r="B63" s="7"/>
      <c r="C63" s="7"/>
      <c r="D63" s="7"/>
      <c r="E63" s="7">
        <v>0.08</v>
      </c>
      <c r="F63" s="7"/>
      <c r="G63" s="7">
        <v>0.74</v>
      </c>
      <c r="H63" s="7">
        <v>7.01</v>
      </c>
      <c r="I63" s="7">
        <v>8.66</v>
      </c>
      <c r="J63" s="7">
        <v>15.92</v>
      </c>
      <c r="K63" s="7">
        <v>4.54</v>
      </c>
    </row>
    <row r="64" spans="1:11" x14ac:dyDescent="0.3">
      <c r="A64" s="11" t="s">
        <v>114</v>
      </c>
      <c r="B64" s="7"/>
      <c r="C64" s="7"/>
      <c r="D64" s="7"/>
      <c r="E64" s="7"/>
      <c r="F64" s="7"/>
      <c r="G64" s="7"/>
      <c r="H64" s="7">
        <v>5</v>
      </c>
      <c r="I64" s="7">
        <v>11.75</v>
      </c>
      <c r="J64" s="7">
        <v>17</v>
      </c>
      <c r="K64" s="7">
        <v>30</v>
      </c>
    </row>
    <row r="65" spans="1:11" x14ac:dyDescent="0.3">
      <c r="A65" s="11" t="s">
        <v>64</v>
      </c>
      <c r="B65" s="7">
        <v>18.91</v>
      </c>
      <c r="C65" s="7">
        <v>20.55</v>
      </c>
      <c r="D65" s="7">
        <v>30.94</v>
      </c>
      <c r="E65" s="7">
        <v>35.54</v>
      </c>
      <c r="F65" s="7">
        <v>52.66</v>
      </c>
      <c r="G65" s="7">
        <v>69.989999999999995</v>
      </c>
      <c r="H65" s="7">
        <v>73.42</v>
      </c>
      <c r="I65" s="7">
        <v>107.84</v>
      </c>
      <c r="J65" s="7">
        <v>145.88</v>
      </c>
      <c r="K65" s="7">
        <v>168.23</v>
      </c>
    </row>
    <row r="66" spans="1:11" s="5" customFormat="1" x14ac:dyDescent="0.3">
      <c r="A66" s="5" t="s">
        <v>56</v>
      </c>
      <c r="B66" s="7">
        <v>32.299999999999997</v>
      </c>
      <c r="C66" s="7">
        <v>33.85</v>
      </c>
      <c r="D66" s="7">
        <v>43.04</v>
      </c>
      <c r="E66" s="7">
        <v>47.28</v>
      </c>
      <c r="F66" s="7">
        <v>66.88</v>
      </c>
      <c r="G66" s="7">
        <v>86.76</v>
      </c>
      <c r="H66" s="7">
        <v>110.13</v>
      </c>
      <c r="I66" s="13">
        <v>153.79</v>
      </c>
      <c r="J66" s="7">
        <v>222.97</v>
      </c>
      <c r="K66" s="7">
        <v>297.76</v>
      </c>
    </row>
    <row r="67" spans="1:11" s="11" customFormat="1" x14ac:dyDescent="0.3">
      <c r="A67" s="11" t="s">
        <v>61</v>
      </c>
      <c r="B67" s="7">
        <v>4.09</v>
      </c>
      <c r="C67" s="7">
        <v>9.6199999999999992</v>
      </c>
      <c r="D67" s="7">
        <v>8.92</v>
      </c>
      <c r="E67" s="7">
        <v>19.260000000000002</v>
      </c>
      <c r="F67" s="7">
        <v>29.65</v>
      </c>
      <c r="G67" s="7">
        <v>13.13</v>
      </c>
      <c r="H67" s="7">
        <v>36.159999999999997</v>
      </c>
      <c r="I67" s="7">
        <v>39.74</v>
      </c>
      <c r="J67" s="7">
        <v>64.099999999999994</v>
      </c>
      <c r="K67" s="7">
        <v>71.09</v>
      </c>
    </row>
    <row r="68" spans="1:11" x14ac:dyDescent="0.3">
      <c r="A68" s="11" t="s">
        <v>62</v>
      </c>
      <c r="B68" s="7">
        <v>12.44</v>
      </c>
      <c r="C68" s="7">
        <v>7.7</v>
      </c>
      <c r="D68" s="7">
        <v>6.67</v>
      </c>
      <c r="E68" s="7">
        <v>2.44</v>
      </c>
      <c r="F68" s="7">
        <v>5.09</v>
      </c>
      <c r="G68" s="7">
        <v>2.5099999999999998</v>
      </c>
      <c r="H68" s="7">
        <v>16.68</v>
      </c>
      <c r="I68" s="7">
        <v>44.18</v>
      </c>
      <c r="J68" s="7">
        <v>45.82</v>
      </c>
      <c r="K68" s="7">
        <v>60.03</v>
      </c>
    </row>
    <row r="69" spans="1:11" x14ac:dyDescent="0.3">
      <c r="A69" s="6" t="s">
        <v>63</v>
      </c>
      <c r="B69" s="7">
        <v>0.45</v>
      </c>
      <c r="C69" s="7">
        <v>0.32</v>
      </c>
      <c r="D69" s="7">
        <v>10.96</v>
      </c>
      <c r="E69" s="7">
        <v>10.1</v>
      </c>
      <c r="F69" s="7">
        <v>7.92</v>
      </c>
      <c r="G69" s="7">
        <v>42.97</v>
      </c>
      <c r="H69" s="7">
        <v>0.82</v>
      </c>
      <c r="I69" s="7">
        <v>1.01</v>
      </c>
      <c r="J69" s="7">
        <v>12.28</v>
      </c>
      <c r="K69" s="7">
        <v>7.66</v>
      </c>
    </row>
    <row r="70" spans="1:11" x14ac:dyDescent="0.3">
      <c r="A70" s="6" t="s">
        <v>115</v>
      </c>
      <c r="B70" s="7">
        <v>4055093</v>
      </c>
      <c r="C70" s="7">
        <v>4055093</v>
      </c>
      <c r="D70" s="7">
        <v>4055093</v>
      </c>
      <c r="E70" s="7">
        <v>4055093</v>
      </c>
      <c r="F70" s="7">
        <v>4055093</v>
      </c>
      <c r="G70" s="7">
        <v>4054493</v>
      </c>
      <c r="H70" s="7">
        <v>4054493</v>
      </c>
      <c r="I70" s="7">
        <v>16217972</v>
      </c>
      <c r="J70" s="7">
        <v>243269580</v>
      </c>
      <c r="K70" s="7">
        <v>244735820</v>
      </c>
    </row>
    <row r="71" spans="1:11" x14ac:dyDescent="0.3">
      <c r="A71" s="6" t="s">
        <v>116</v>
      </c>
      <c r="E71" s="7"/>
      <c r="F71" s="7"/>
      <c r="G71" s="7"/>
      <c r="I71" s="7"/>
    </row>
    <row r="72" spans="1:11" x14ac:dyDescent="0.3">
      <c r="A72" s="6" t="s">
        <v>117</v>
      </c>
      <c r="B72" s="7">
        <v>10</v>
      </c>
      <c r="C72" s="7">
        <v>10</v>
      </c>
      <c r="D72" s="7">
        <v>10</v>
      </c>
      <c r="E72" s="7">
        <v>10</v>
      </c>
      <c r="F72" s="7">
        <v>10</v>
      </c>
      <c r="G72" s="7">
        <v>10</v>
      </c>
      <c r="H72" s="7">
        <v>10</v>
      </c>
      <c r="I72" s="7">
        <v>10</v>
      </c>
      <c r="J72" s="7">
        <v>2</v>
      </c>
      <c r="K72" s="7">
        <v>2</v>
      </c>
    </row>
    <row r="80" spans="1:11" x14ac:dyDescent="0.3">
      <c r="A80" s="5" t="s">
        <v>118</v>
      </c>
    </row>
    <row r="81" spans="1:11" s="10" customFormat="1" x14ac:dyDescent="0.3">
      <c r="A81" s="8" t="s">
        <v>103</v>
      </c>
      <c r="B81" s="9">
        <v>42460</v>
      </c>
      <c r="C81" s="9">
        <v>42825</v>
      </c>
      <c r="D81" s="9">
        <v>43190</v>
      </c>
      <c r="E81" s="9">
        <v>43555</v>
      </c>
      <c r="F81" s="9">
        <v>43921</v>
      </c>
      <c r="G81" s="9">
        <v>44286</v>
      </c>
      <c r="H81" s="9">
        <v>44651</v>
      </c>
      <c r="I81" s="9">
        <v>45016</v>
      </c>
      <c r="J81" s="9">
        <v>45382</v>
      </c>
      <c r="K81" s="9">
        <v>45747</v>
      </c>
    </row>
    <row r="82" spans="1:11" s="5" customFormat="1" x14ac:dyDescent="0.3">
      <c r="A82" s="11" t="s">
        <v>119</v>
      </c>
      <c r="B82" s="7">
        <v>3.58</v>
      </c>
      <c r="C82" s="7">
        <v>1.78</v>
      </c>
      <c r="D82" s="7">
        <v>9.1199999999999992</v>
      </c>
      <c r="E82" s="7">
        <v>4.21</v>
      </c>
      <c r="F82" s="7">
        <v>3.04</v>
      </c>
      <c r="G82" s="7">
        <v>44.65</v>
      </c>
      <c r="H82" s="7">
        <v>-29.9</v>
      </c>
      <c r="I82" s="7">
        <v>4.45</v>
      </c>
      <c r="J82" s="7">
        <v>68.3</v>
      </c>
      <c r="K82" s="7">
        <v>50.1</v>
      </c>
    </row>
    <row r="83" spans="1:11" s="11" customFormat="1" x14ac:dyDescent="0.3">
      <c r="A83" s="11" t="s">
        <v>120</v>
      </c>
      <c r="B83" s="7">
        <v>-1.44</v>
      </c>
      <c r="C83" s="7">
        <v>-1.7</v>
      </c>
      <c r="D83" s="7">
        <v>3.73</v>
      </c>
      <c r="E83" s="7">
        <v>-0.51</v>
      </c>
      <c r="F83" s="7">
        <v>0.02</v>
      </c>
      <c r="G83" s="7">
        <v>-41.68</v>
      </c>
      <c r="H83" s="7">
        <v>19.649999999999999</v>
      </c>
      <c r="I83" s="7">
        <v>-12.66</v>
      </c>
      <c r="J83" s="7">
        <v>-45.49</v>
      </c>
      <c r="K83" s="7">
        <v>-56.57</v>
      </c>
    </row>
    <row r="84" spans="1:11" s="11" customFormat="1" x14ac:dyDescent="0.3">
      <c r="A84" s="11" t="s">
        <v>121</v>
      </c>
      <c r="B84" s="7">
        <v>-2.14</v>
      </c>
      <c r="C84" s="7">
        <v>-0.09</v>
      </c>
      <c r="D84" s="7">
        <v>-12.27</v>
      </c>
      <c r="E84" s="7">
        <v>-4</v>
      </c>
      <c r="F84" s="7">
        <v>-2.98</v>
      </c>
      <c r="G84" s="7">
        <v>-2.5499999999999998</v>
      </c>
      <c r="H84" s="7">
        <v>9.4600000000000009</v>
      </c>
      <c r="I84" s="7">
        <v>8.2100000000000009</v>
      </c>
      <c r="J84" s="7">
        <v>-22.7</v>
      </c>
      <c r="K84" s="7">
        <v>8.25</v>
      </c>
    </row>
    <row r="85" spans="1:11" s="5" customFormat="1" x14ac:dyDescent="0.3">
      <c r="A85" s="11" t="s">
        <v>122</v>
      </c>
      <c r="B85" s="7"/>
      <c r="C85" s="7">
        <v>-0.02</v>
      </c>
      <c r="D85" s="7">
        <v>0.56999999999999995</v>
      </c>
      <c r="E85" s="7">
        <v>-0.3</v>
      </c>
      <c r="F85" s="7">
        <v>0.08</v>
      </c>
      <c r="G85" s="7">
        <v>0.43</v>
      </c>
      <c r="H85" s="7">
        <v>-0.8</v>
      </c>
      <c r="I85" s="7"/>
      <c r="J85" s="7">
        <v>0.1</v>
      </c>
      <c r="K85" s="7">
        <v>1.78</v>
      </c>
    </row>
    <row r="86" spans="1:11" x14ac:dyDescent="0.3">
      <c r="A86" s="11"/>
    </row>
    <row r="87" spans="1:11" x14ac:dyDescent="0.3">
      <c r="A87" s="11"/>
    </row>
    <row r="88" spans="1:11" x14ac:dyDescent="0.3">
      <c r="A88" s="11"/>
    </row>
    <row r="89" spans="1:11" x14ac:dyDescent="0.3">
      <c r="A89" s="11"/>
    </row>
    <row r="90" spans="1:11" s="5" customFormat="1" x14ac:dyDescent="0.3">
      <c r="A90" s="5" t="s">
        <v>123</v>
      </c>
      <c r="B90" s="7">
        <v>1.98</v>
      </c>
      <c r="C90" s="7">
        <v>2.99</v>
      </c>
      <c r="D90" s="7">
        <v>8.08</v>
      </c>
      <c r="E90" s="7">
        <v>3.57</v>
      </c>
      <c r="F90" s="7">
        <v>2.62</v>
      </c>
      <c r="G90" s="7">
        <v>5.99</v>
      </c>
      <c r="H90" s="7">
        <v>16.2</v>
      </c>
      <c r="I90" s="7">
        <v>25.58</v>
      </c>
      <c r="J90" s="7">
        <v>94.08</v>
      </c>
      <c r="K90" s="7">
        <v>107.63</v>
      </c>
    </row>
    <row r="92" spans="1:11" s="5" customFormat="1" x14ac:dyDescent="0.3">
      <c r="A92" s="5" t="s">
        <v>124</v>
      </c>
    </row>
    <row r="93" spans="1:11" x14ac:dyDescent="0.3">
      <c r="A93" s="6" t="s">
        <v>125</v>
      </c>
      <c r="B93" s="12">
        <v>26.4</v>
      </c>
      <c r="C93" s="12">
        <v>26.4</v>
      </c>
      <c r="D93" s="12">
        <v>26.4</v>
      </c>
      <c r="E93" s="12">
        <v>26.4</v>
      </c>
      <c r="F93" s="12">
        <v>26.4</v>
      </c>
      <c r="G93" s="12">
        <v>26.4</v>
      </c>
      <c r="H93" s="12">
        <v>26.4</v>
      </c>
      <c r="I93" s="12">
        <v>26.4</v>
      </c>
      <c r="J93" s="12">
        <v>26.34</v>
      </c>
      <c r="K93" s="12">
        <v>26.5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4FDB367E-D7C7-4568-A549-E8A294E5979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Dates Setting</vt:lpstr>
      <vt:lpstr>P&amp;L Analysis</vt:lpstr>
      <vt:lpstr>BS</vt:lpstr>
      <vt:lpstr>Sensitivity Analysis</vt:lpstr>
      <vt:lpstr>Working Capital</vt:lpstr>
      <vt:lpstr>Industry Analysis</vt:lpstr>
      <vt:lpstr>Sheet2</vt:lpstr>
      <vt:lpstr>Data Sheet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Agarwal</dc:creator>
  <cp:lastModifiedBy>Ritu Agarwal</cp:lastModifiedBy>
  <dcterms:created xsi:type="dcterms:W3CDTF">2025-06-30T09:20:46Z</dcterms:created>
  <dcterms:modified xsi:type="dcterms:W3CDTF">2025-07-16T12:14:58Z</dcterms:modified>
</cp:coreProperties>
</file>